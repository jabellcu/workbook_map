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ellan\Documents\training\Workbook_map\"/>
    </mc:Choice>
  </mc:AlternateContent>
  <bookViews>
    <workbookView xWindow="0" yWindow="0" windowWidth="25200" windowHeight="10260" tabRatio="801" activeTab="1"/>
  </bookViews>
  <sheets>
    <sheet name="version_log" sheetId="19" r:id="rId1"/>
    <sheet name="workbook_map" sheetId="20" r:id="rId2"/>
    <sheet name="INPUT1" sheetId="1" r:id="rId3"/>
    <sheet name="INPUT2" sheetId="2" r:id="rId4"/>
    <sheet name="INPUT3" sheetId="3" r:id="rId5"/>
    <sheet name="INPUT4" sheetId="4" r:id="rId6"/>
    <sheet name="CALCS&gt;" sheetId="18" r:id="rId7"/>
    <sheet name="CALC_A_1" sheetId="5" r:id="rId8"/>
    <sheet name="CALC_A_2" sheetId="6" r:id="rId9"/>
    <sheet name="CALC_A_3" sheetId="7" r:id="rId10"/>
    <sheet name="CALC_CHK_A" sheetId="11" r:id="rId11"/>
    <sheet name="CALC_B1" sheetId="8" r:id="rId12"/>
    <sheet name="CALC_B2" sheetId="9" r:id="rId13"/>
    <sheet name="CALC_B3" sheetId="10" r:id="rId14"/>
    <sheet name="CALC_CHK_B" sheetId="12" r:id="rId15"/>
    <sheet name="SUMMARY_CALCS" sheetId="13" r:id="rId16"/>
    <sheet name="SUMMARY_CALCS_csv" sheetId="14" r:id="rId17"/>
    <sheet name="OUTPUTS&gt;" sheetId="17" r:id="rId18"/>
    <sheet name="Results1" sheetId="15" r:id="rId19"/>
    <sheet name="Results2" sheetId="16" r:id="rId20"/>
  </sheet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6" l="1"/>
  <c r="E3" i="16"/>
  <c r="C3" i="16"/>
  <c r="E4" i="15"/>
  <c r="D4" i="15"/>
  <c r="C4" i="15"/>
  <c r="E3" i="15"/>
  <c r="D3" i="15"/>
  <c r="C3" i="15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3" i="14"/>
  <c r="D4" i="13"/>
  <c r="D5" i="13"/>
  <c r="D6" i="13"/>
  <c r="D7" i="13"/>
  <c r="D8" i="13"/>
  <c r="D9" i="13"/>
  <c r="D10" i="13"/>
  <c r="D11" i="13"/>
  <c r="D12" i="13"/>
  <c r="D3" i="13"/>
  <c r="C4" i="13"/>
  <c r="C5" i="13"/>
  <c r="C6" i="13"/>
  <c r="C7" i="13"/>
  <c r="C8" i="13"/>
  <c r="C9" i="13"/>
  <c r="C10" i="13"/>
  <c r="C11" i="13"/>
  <c r="C12" i="13"/>
  <c r="C3" i="13"/>
  <c r="C4" i="12"/>
  <c r="C5" i="12"/>
  <c r="C6" i="12"/>
  <c r="C7" i="12"/>
  <c r="C8" i="12"/>
  <c r="C9" i="12"/>
  <c r="C10" i="12"/>
  <c r="C11" i="12"/>
  <c r="C12" i="12"/>
  <c r="C3" i="12"/>
  <c r="C4" i="10"/>
  <c r="C5" i="10"/>
  <c r="C6" i="10"/>
  <c r="C7" i="10"/>
  <c r="C8" i="10"/>
  <c r="C9" i="10"/>
  <c r="C10" i="10"/>
  <c r="C11" i="10"/>
  <c r="C12" i="10"/>
  <c r="C3" i="10"/>
  <c r="C4" i="9"/>
  <c r="C5" i="9"/>
  <c r="C6" i="9"/>
  <c r="C7" i="9"/>
  <c r="C8" i="9"/>
  <c r="C9" i="9"/>
  <c r="C10" i="9"/>
  <c r="C11" i="9"/>
  <c r="C12" i="9"/>
  <c r="C3" i="9"/>
  <c r="C4" i="8"/>
  <c r="C5" i="8"/>
  <c r="C6" i="8"/>
  <c r="C7" i="8"/>
  <c r="C8" i="8"/>
  <c r="C9" i="8"/>
  <c r="C10" i="8"/>
  <c r="C11" i="8"/>
  <c r="C12" i="8"/>
  <c r="C3" i="8"/>
  <c r="C4" i="11"/>
  <c r="C5" i="11"/>
  <c r="C6" i="11"/>
  <c r="C7" i="11"/>
  <c r="C8" i="11"/>
  <c r="C9" i="11"/>
  <c r="C10" i="11"/>
  <c r="C11" i="11"/>
  <c r="C12" i="11"/>
  <c r="C3" i="11"/>
  <c r="C4" i="7"/>
  <c r="C5" i="7"/>
  <c r="C6" i="7"/>
  <c r="C7" i="7"/>
  <c r="C8" i="7"/>
  <c r="C9" i="7"/>
  <c r="C10" i="7"/>
  <c r="C11" i="7"/>
  <c r="C12" i="7"/>
  <c r="C3" i="7"/>
  <c r="C4" i="6"/>
  <c r="C5" i="6"/>
  <c r="C6" i="6"/>
  <c r="C7" i="6"/>
  <c r="C8" i="6"/>
  <c r="C9" i="6"/>
  <c r="C10" i="6"/>
  <c r="C11" i="6"/>
  <c r="C12" i="6"/>
  <c r="C3" i="6"/>
  <c r="C4" i="5"/>
  <c r="C5" i="5"/>
  <c r="C6" i="5"/>
  <c r="C7" i="5"/>
  <c r="C8" i="5"/>
  <c r="C9" i="5"/>
  <c r="C10" i="5"/>
  <c r="C11" i="5"/>
  <c r="C12" i="5"/>
  <c r="C3" i="5"/>
</calcChain>
</file>

<file path=xl/sharedStrings.xml><?xml version="1.0" encoding="utf-8"?>
<sst xmlns="http://schemas.openxmlformats.org/spreadsheetml/2006/main" count="67" uniqueCount="13">
  <si>
    <t>Create</t>
  </si>
  <si>
    <t>Modify 1</t>
  </si>
  <si>
    <t>Modify 2</t>
  </si>
  <si>
    <t>…</t>
  </si>
  <si>
    <t>A</t>
  </si>
  <si>
    <t>X</t>
  </si>
  <si>
    <t>B</t>
  </si>
  <si>
    <t>Cat</t>
  </si>
  <si>
    <t>V</t>
  </si>
  <si>
    <t>COUNT</t>
  </si>
  <si>
    <t>MEAN</t>
  </si>
  <si>
    <t>STDEV</t>
  </si>
  <si>
    <t>WEIGHTED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</si>
</sst>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C_A_1'!A1"/><Relationship Id="rId13" Type="http://schemas.openxmlformats.org/officeDocument/2006/relationships/hyperlink" Target="#'CALC_B2'!A1"/><Relationship Id="rId18" Type="http://schemas.openxmlformats.org/officeDocument/2006/relationships/hyperlink" Target="#'OUTPUTS&gt;'!A1"/><Relationship Id="rId3" Type="http://schemas.openxmlformats.org/officeDocument/2006/relationships/hyperlink" Target="#'INPUT1'!A1"/><Relationship Id="rId7" Type="http://schemas.openxmlformats.org/officeDocument/2006/relationships/hyperlink" Target="#'CALCS&gt;'!A1"/><Relationship Id="rId12" Type="http://schemas.openxmlformats.org/officeDocument/2006/relationships/hyperlink" Target="#'CALC_B1'!A1"/><Relationship Id="rId17" Type="http://schemas.openxmlformats.org/officeDocument/2006/relationships/hyperlink" Target="#'SUMMARY_CALCS_csv'!A1"/><Relationship Id="rId2" Type="http://schemas.openxmlformats.org/officeDocument/2006/relationships/hyperlink" Target="#'workbook_map'!A1"/><Relationship Id="rId16" Type="http://schemas.openxmlformats.org/officeDocument/2006/relationships/hyperlink" Target="#'SUMMARY_CALCS'!A1"/><Relationship Id="rId20" Type="http://schemas.openxmlformats.org/officeDocument/2006/relationships/hyperlink" Target="#'Results2'!A1"/><Relationship Id="rId1" Type="http://schemas.openxmlformats.org/officeDocument/2006/relationships/hyperlink" Target="#'version_log'!A1"/><Relationship Id="rId6" Type="http://schemas.openxmlformats.org/officeDocument/2006/relationships/hyperlink" Target="#'INPUT4'!A1"/><Relationship Id="rId11" Type="http://schemas.openxmlformats.org/officeDocument/2006/relationships/hyperlink" Target="#'CALC_CHK_A'!A1"/><Relationship Id="rId5" Type="http://schemas.openxmlformats.org/officeDocument/2006/relationships/hyperlink" Target="#'INPUT3'!A1"/><Relationship Id="rId15" Type="http://schemas.openxmlformats.org/officeDocument/2006/relationships/hyperlink" Target="#'CALC_CHK_B'!A1"/><Relationship Id="rId10" Type="http://schemas.openxmlformats.org/officeDocument/2006/relationships/hyperlink" Target="#'CALC_A_3'!A1"/><Relationship Id="rId19" Type="http://schemas.openxmlformats.org/officeDocument/2006/relationships/hyperlink" Target="#'Results1'!A1"/><Relationship Id="rId4" Type="http://schemas.openxmlformats.org/officeDocument/2006/relationships/hyperlink" Target="#'INPUT2'!A1"/><Relationship Id="rId9" Type="http://schemas.openxmlformats.org/officeDocument/2006/relationships/hyperlink" Target="#'CALC_A_2'!A1"/><Relationship Id="rId14" Type="http://schemas.openxmlformats.org/officeDocument/2006/relationships/hyperlink" Target="#'CALC_B3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353183</xdr:colOff>
      <xdr:row>7</xdr:row>
      <xdr:rowOff>43380</xdr:rowOff>
    </xdr:from>
    <xdr:to>
      <xdr:col>12</xdr:col>
      <xdr:colOff>88900</xdr:colOff>
      <xdr:row>23</xdr:row>
      <xdr:rowOff>43380</xdr:rowOff>
    </xdr:to>
    <xdr:cxnSp macro="">
      <xdr:nvCxnSpPr>
        <xdr:cNvPr id="41" name="SUMMARY_CALCS_csv to Results2">
          <a:extLst>
            <a:ext uri="{FF2B5EF4-FFF2-40B4-BE49-F238E27FC236}">
              <a16:creationId xmlns:a16="http://schemas.microsoft.com/office/drawing/2014/main" id="{DB2B5D68-B868-4B8D-BC09-72AECD0C4072}"/>
            </a:ext>
          </a:extLst>
        </xdr:cNvPr>
        <xdr:cNvCxnSpPr>
          <a:stCxn id="18" idx="3"/>
          <a:endCxn id="21" idx="1"/>
        </xdr:cNvCxnSpPr>
      </xdr:nvCxnSpPr>
      <xdr:spPr>
        <a:xfrm flipV="1">
          <a:off x="5839583" y="1376880"/>
          <a:ext cx="1564517" cy="3048000"/>
        </a:xfrm>
        <a:prstGeom prst="curvedConnector3">
          <a:avLst>
            <a:gd name="adj1" fmla="val 50000"/>
          </a:avLst>
        </a:prstGeom>
        <a:ln w="17127">
          <a:solidFill>
            <a:srgbClr val="2037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146342</xdr:colOff>
      <xdr:row>5</xdr:row>
      <xdr:rowOff>43380</xdr:rowOff>
    </xdr:from>
    <xdr:to>
      <xdr:col>13</xdr:col>
      <xdr:colOff>159042</xdr:colOff>
      <xdr:row>7</xdr:row>
      <xdr:rowOff>43380</xdr:rowOff>
    </xdr:to>
    <xdr:cxnSp macro="">
      <xdr:nvCxnSpPr>
        <xdr:cNvPr id="40" name="Results1 to Results2">
          <a:extLst>
            <a:ext uri="{FF2B5EF4-FFF2-40B4-BE49-F238E27FC236}">
              <a16:creationId xmlns:a16="http://schemas.microsoft.com/office/drawing/2014/main" id="{59BC6184-3A73-49C5-8C74-400DA7FA06A7}"/>
            </a:ext>
          </a:extLst>
        </xdr:cNvPr>
        <xdr:cNvCxnSpPr>
          <a:stCxn id="20" idx="3"/>
          <a:endCxn id="21" idx="3"/>
        </xdr:cNvCxnSpPr>
      </xdr:nvCxnSpPr>
      <xdr:spPr>
        <a:xfrm>
          <a:off x="8071142" y="995880"/>
          <a:ext cx="12700" cy="381000"/>
        </a:xfrm>
        <a:prstGeom prst="curvedConnector3">
          <a:avLst>
            <a:gd name="adj1" fmla="val 1800000"/>
          </a:avLst>
        </a:prstGeom>
        <a:ln w="17127">
          <a:solidFill>
            <a:srgbClr val="F8CBAD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104397</xdr:colOff>
      <xdr:row>5</xdr:row>
      <xdr:rowOff>43380</xdr:rowOff>
    </xdr:from>
    <xdr:to>
      <xdr:col>12</xdr:col>
      <xdr:colOff>88900</xdr:colOff>
      <xdr:row>21</xdr:row>
      <xdr:rowOff>43380</xdr:rowOff>
    </xdr:to>
    <xdr:cxnSp macro="">
      <xdr:nvCxnSpPr>
        <xdr:cNvPr id="39" name="SUMMARY_CALCS to Results1">
          <a:extLst>
            <a:ext uri="{FF2B5EF4-FFF2-40B4-BE49-F238E27FC236}">
              <a16:creationId xmlns:a16="http://schemas.microsoft.com/office/drawing/2014/main" id="{F76AD454-E545-45FC-AB27-DB6130424515}"/>
            </a:ext>
          </a:extLst>
        </xdr:cNvPr>
        <xdr:cNvCxnSpPr>
          <a:stCxn id="17" idx="3"/>
          <a:endCxn id="20" idx="1"/>
        </xdr:cNvCxnSpPr>
      </xdr:nvCxnSpPr>
      <xdr:spPr>
        <a:xfrm flipV="1">
          <a:off x="5590797" y="995880"/>
          <a:ext cx="1813303" cy="3048000"/>
        </a:xfrm>
        <a:prstGeom prst="curvedConnector3">
          <a:avLst>
            <a:gd name="adj1" fmla="val 50000"/>
          </a:avLst>
        </a:prstGeom>
        <a:ln w="25930">
          <a:solidFill>
            <a:srgbClr val="2037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104397</xdr:colOff>
      <xdr:row>21</xdr:row>
      <xdr:rowOff>43380</xdr:rowOff>
    </xdr:from>
    <xdr:to>
      <xdr:col>9</xdr:col>
      <xdr:colOff>353183</xdr:colOff>
      <xdr:row>23</xdr:row>
      <xdr:rowOff>43380</xdr:rowOff>
    </xdr:to>
    <xdr:cxnSp macro="">
      <xdr:nvCxnSpPr>
        <xdr:cNvPr id="38" name="SUMMARY_CALCS to SUMMARY_CALCS_csv">
          <a:extLst>
            <a:ext uri="{FF2B5EF4-FFF2-40B4-BE49-F238E27FC236}">
              <a16:creationId xmlns:a16="http://schemas.microsoft.com/office/drawing/2014/main" id="{45FAD01B-81D3-4CEA-A1DC-C949A711504D}"/>
            </a:ext>
          </a:extLst>
        </xdr:cNvPr>
        <xdr:cNvCxnSpPr>
          <a:stCxn id="17" idx="3"/>
          <a:endCxn id="18" idx="3"/>
        </xdr:cNvCxnSpPr>
      </xdr:nvCxnSpPr>
      <xdr:spPr>
        <a:xfrm>
          <a:off x="5590797" y="4043880"/>
          <a:ext cx="248786" cy="381000"/>
        </a:xfrm>
        <a:prstGeom prst="curvedConnector3">
          <a:avLst>
            <a:gd name="adj1" fmla="val 191886"/>
          </a:avLst>
        </a:prstGeom>
        <a:ln w="41221">
          <a:solidFill>
            <a:srgbClr val="2037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173849</xdr:colOff>
      <xdr:row>17</xdr:row>
      <xdr:rowOff>43380</xdr:rowOff>
    </xdr:from>
    <xdr:to>
      <xdr:col>9</xdr:col>
      <xdr:colOff>104397</xdr:colOff>
      <xdr:row>21</xdr:row>
      <xdr:rowOff>43380</xdr:rowOff>
    </xdr:to>
    <xdr:cxnSp macro="">
      <xdr:nvCxnSpPr>
        <xdr:cNvPr id="37" name="CALC_B3 to SUMMARY_CALCS">
          <a:extLst>
            <a:ext uri="{FF2B5EF4-FFF2-40B4-BE49-F238E27FC236}">
              <a16:creationId xmlns:a16="http://schemas.microsoft.com/office/drawing/2014/main" id="{BD88730E-8066-43BF-A374-D88AA3C906E1}"/>
            </a:ext>
          </a:extLst>
        </xdr:cNvPr>
        <xdr:cNvCxnSpPr>
          <a:stCxn id="15" idx="3"/>
          <a:endCxn id="17" idx="3"/>
        </xdr:cNvCxnSpPr>
      </xdr:nvCxnSpPr>
      <xdr:spPr>
        <a:xfrm>
          <a:off x="5050649" y="3281880"/>
          <a:ext cx="540148" cy="762000"/>
        </a:xfrm>
        <a:prstGeom prst="curvedConnector3">
          <a:avLst>
            <a:gd name="adj1" fmla="val 142322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248998</xdr:colOff>
      <xdr:row>9</xdr:row>
      <xdr:rowOff>43380</xdr:rowOff>
    </xdr:from>
    <xdr:to>
      <xdr:col>9</xdr:col>
      <xdr:colOff>104397</xdr:colOff>
      <xdr:row>21</xdr:row>
      <xdr:rowOff>43380</xdr:rowOff>
    </xdr:to>
    <xdr:cxnSp macro="">
      <xdr:nvCxnSpPr>
        <xdr:cNvPr id="36" name="CALC_A_3 to SUMMARY_CALCS">
          <a:extLst>
            <a:ext uri="{FF2B5EF4-FFF2-40B4-BE49-F238E27FC236}">
              <a16:creationId xmlns:a16="http://schemas.microsoft.com/office/drawing/2014/main" id="{4E2A99DB-75EB-4BF4-B332-183A3EBF4D66}"/>
            </a:ext>
          </a:extLst>
        </xdr:cNvPr>
        <xdr:cNvCxnSpPr>
          <a:stCxn id="11" idx="3"/>
          <a:endCxn id="17" idx="3"/>
        </xdr:cNvCxnSpPr>
      </xdr:nvCxnSpPr>
      <xdr:spPr>
        <a:xfrm>
          <a:off x="5125798" y="1757880"/>
          <a:ext cx="464999" cy="2286000"/>
        </a:xfrm>
        <a:prstGeom prst="curvedConnector3">
          <a:avLst>
            <a:gd name="adj1" fmla="val 149161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173849</xdr:colOff>
      <xdr:row>17</xdr:row>
      <xdr:rowOff>43380</xdr:rowOff>
    </xdr:from>
    <xdr:to>
      <xdr:col>8</xdr:col>
      <xdr:colOff>409042</xdr:colOff>
      <xdr:row>19</xdr:row>
      <xdr:rowOff>43380</xdr:rowOff>
    </xdr:to>
    <xdr:cxnSp macro="">
      <xdr:nvCxnSpPr>
        <xdr:cNvPr id="35" name="CALC_B3 to CALC_CHK_B">
          <a:extLst>
            <a:ext uri="{FF2B5EF4-FFF2-40B4-BE49-F238E27FC236}">
              <a16:creationId xmlns:a16="http://schemas.microsoft.com/office/drawing/2014/main" id="{C7C1327A-22AD-41BA-B059-6F2FC3805389}"/>
            </a:ext>
          </a:extLst>
        </xdr:cNvPr>
        <xdr:cNvCxnSpPr>
          <a:stCxn id="15" idx="3"/>
          <a:endCxn id="16" idx="3"/>
        </xdr:cNvCxnSpPr>
      </xdr:nvCxnSpPr>
      <xdr:spPr>
        <a:xfrm>
          <a:off x="5050649" y="3281880"/>
          <a:ext cx="235193" cy="381000"/>
        </a:xfrm>
        <a:prstGeom prst="curvedConnector3">
          <a:avLst>
            <a:gd name="adj1" fmla="val 197197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11</xdr:row>
      <xdr:rowOff>43380</xdr:rowOff>
    </xdr:from>
    <xdr:to>
      <xdr:col>7</xdr:col>
      <xdr:colOff>88900</xdr:colOff>
      <xdr:row>17</xdr:row>
      <xdr:rowOff>43380</xdr:rowOff>
    </xdr:to>
    <xdr:cxnSp macro="">
      <xdr:nvCxnSpPr>
        <xdr:cNvPr id="34" name="INPUT4 to CALC_B3">
          <a:extLst>
            <a:ext uri="{FF2B5EF4-FFF2-40B4-BE49-F238E27FC236}">
              <a16:creationId xmlns:a16="http://schemas.microsoft.com/office/drawing/2014/main" id="{757D713B-E738-45A9-A4FF-C4A206098665}"/>
            </a:ext>
          </a:extLst>
        </xdr:cNvPr>
        <xdr:cNvCxnSpPr>
          <a:stCxn id="7" idx="3"/>
          <a:endCxn id="15" idx="1"/>
        </xdr:cNvCxnSpPr>
      </xdr:nvCxnSpPr>
      <xdr:spPr>
        <a:xfrm>
          <a:off x="2989812" y="2138880"/>
          <a:ext cx="1366288" cy="1143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9</xdr:row>
      <xdr:rowOff>43380</xdr:rowOff>
    </xdr:from>
    <xdr:to>
      <xdr:col>7</xdr:col>
      <xdr:colOff>88900</xdr:colOff>
      <xdr:row>17</xdr:row>
      <xdr:rowOff>43380</xdr:rowOff>
    </xdr:to>
    <xdr:cxnSp macro="">
      <xdr:nvCxnSpPr>
        <xdr:cNvPr id="33" name="INPUT3 to CALC_B3">
          <a:extLst>
            <a:ext uri="{FF2B5EF4-FFF2-40B4-BE49-F238E27FC236}">
              <a16:creationId xmlns:a16="http://schemas.microsoft.com/office/drawing/2014/main" id="{06A53BF6-3A88-4045-BE0D-93341ADCC664}"/>
            </a:ext>
          </a:extLst>
        </xdr:cNvPr>
        <xdr:cNvCxnSpPr>
          <a:stCxn id="6" idx="3"/>
          <a:endCxn id="15" idx="1"/>
        </xdr:cNvCxnSpPr>
      </xdr:nvCxnSpPr>
      <xdr:spPr>
        <a:xfrm>
          <a:off x="2989812" y="1757880"/>
          <a:ext cx="1366288" cy="1524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173849</xdr:colOff>
      <xdr:row>15</xdr:row>
      <xdr:rowOff>43380</xdr:rowOff>
    </xdr:from>
    <xdr:to>
      <xdr:col>8</xdr:col>
      <xdr:colOff>186549</xdr:colOff>
      <xdr:row>17</xdr:row>
      <xdr:rowOff>43380</xdr:rowOff>
    </xdr:to>
    <xdr:cxnSp macro="">
      <xdr:nvCxnSpPr>
        <xdr:cNvPr id="32" name="CALC_B2 to CALC_B3">
          <a:extLst>
            <a:ext uri="{FF2B5EF4-FFF2-40B4-BE49-F238E27FC236}">
              <a16:creationId xmlns:a16="http://schemas.microsoft.com/office/drawing/2014/main" id="{726EE408-3E6A-41BE-93B1-1FA3E9372E82}"/>
            </a:ext>
          </a:extLst>
        </xdr:cNvPr>
        <xdr:cNvCxnSpPr>
          <a:stCxn id="14" idx="3"/>
          <a:endCxn id="15" idx="3"/>
        </xdr:cNvCxnSpPr>
      </xdr:nvCxnSpPr>
      <xdr:spPr>
        <a:xfrm>
          <a:off x="5050649" y="2900880"/>
          <a:ext cx="12700" cy="381000"/>
        </a:xfrm>
        <a:prstGeom prst="curvedConnector3">
          <a:avLst>
            <a:gd name="adj1" fmla="val 1800000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173849</xdr:colOff>
      <xdr:row>13</xdr:row>
      <xdr:rowOff>43380</xdr:rowOff>
    </xdr:from>
    <xdr:to>
      <xdr:col>8</xdr:col>
      <xdr:colOff>186549</xdr:colOff>
      <xdr:row>17</xdr:row>
      <xdr:rowOff>43380</xdr:rowOff>
    </xdr:to>
    <xdr:cxnSp macro="">
      <xdr:nvCxnSpPr>
        <xdr:cNvPr id="31" name="CALC_B1 to CALC_B3">
          <a:extLst>
            <a:ext uri="{FF2B5EF4-FFF2-40B4-BE49-F238E27FC236}">
              <a16:creationId xmlns:a16="http://schemas.microsoft.com/office/drawing/2014/main" id="{AF2558E4-68F0-4AEE-AD7A-6244847A623B}"/>
            </a:ext>
          </a:extLst>
        </xdr:cNvPr>
        <xdr:cNvCxnSpPr>
          <a:stCxn id="13" idx="3"/>
          <a:endCxn id="15" idx="3"/>
        </xdr:cNvCxnSpPr>
      </xdr:nvCxnSpPr>
      <xdr:spPr>
        <a:xfrm>
          <a:off x="5050649" y="2519880"/>
          <a:ext cx="12700" cy="762000"/>
        </a:xfrm>
        <a:prstGeom prst="curvedConnector3">
          <a:avLst>
            <a:gd name="adj1" fmla="val 1800000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173849</xdr:colOff>
      <xdr:row>13</xdr:row>
      <xdr:rowOff>43380</xdr:rowOff>
    </xdr:from>
    <xdr:to>
      <xdr:col>8</xdr:col>
      <xdr:colOff>186549</xdr:colOff>
      <xdr:row>15</xdr:row>
      <xdr:rowOff>43380</xdr:rowOff>
    </xdr:to>
    <xdr:cxnSp macro="">
      <xdr:nvCxnSpPr>
        <xdr:cNvPr id="30" name="CALC_B1 to CALC_B2">
          <a:extLst>
            <a:ext uri="{FF2B5EF4-FFF2-40B4-BE49-F238E27FC236}">
              <a16:creationId xmlns:a16="http://schemas.microsoft.com/office/drawing/2014/main" id="{02C05550-A6C8-4055-93D4-204DA0B901B1}"/>
            </a:ext>
          </a:extLst>
        </xdr:cNvPr>
        <xdr:cNvCxnSpPr>
          <a:stCxn id="13" idx="3"/>
          <a:endCxn id="14" idx="3"/>
        </xdr:cNvCxnSpPr>
      </xdr:nvCxnSpPr>
      <xdr:spPr>
        <a:xfrm>
          <a:off x="5050649" y="2519880"/>
          <a:ext cx="12700" cy="381000"/>
        </a:xfrm>
        <a:prstGeom prst="curvedConnector3">
          <a:avLst>
            <a:gd name="adj1" fmla="val 1800000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7</xdr:row>
      <xdr:rowOff>43380</xdr:rowOff>
    </xdr:from>
    <xdr:to>
      <xdr:col>7</xdr:col>
      <xdr:colOff>88900</xdr:colOff>
      <xdr:row>15</xdr:row>
      <xdr:rowOff>43380</xdr:rowOff>
    </xdr:to>
    <xdr:cxnSp macro="">
      <xdr:nvCxnSpPr>
        <xdr:cNvPr id="29" name="INPUT2 to CALC_B2">
          <a:extLst>
            <a:ext uri="{FF2B5EF4-FFF2-40B4-BE49-F238E27FC236}">
              <a16:creationId xmlns:a16="http://schemas.microsoft.com/office/drawing/2014/main" id="{F62A5582-16C5-4E0B-8973-6CA37125D448}"/>
            </a:ext>
          </a:extLst>
        </xdr:cNvPr>
        <xdr:cNvCxnSpPr>
          <a:stCxn id="5" idx="3"/>
          <a:endCxn id="14" idx="1"/>
        </xdr:cNvCxnSpPr>
      </xdr:nvCxnSpPr>
      <xdr:spPr>
        <a:xfrm>
          <a:off x="2989812" y="1376880"/>
          <a:ext cx="1366288" cy="1524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5</xdr:row>
      <xdr:rowOff>43380</xdr:rowOff>
    </xdr:from>
    <xdr:to>
      <xdr:col>7</xdr:col>
      <xdr:colOff>88900</xdr:colOff>
      <xdr:row>13</xdr:row>
      <xdr:rowOff>43380</xdr:rowOff>
    </xdr:to>
    <xdr:cxnSp macro="">
      <xdr:nvCxnSpPr>
        <xdr:cNvPr id="28" name="INPUT1 to CALC_B1">
          <a:extLst>
            <a:ext uri="{FF2B5EF4-FFF2-40B4-BE49-F238E27FC236}">
              <a16:creationId xmlns:a16="http://schemas.microsoft.com/office/drawing/2014/main" id="{A01CF27E-9416-4F72-A404-6A6CD04E366A}"/>
            </a:ext>
          </a:extLst>
        </xdr:cNvPr>
        <xdr:cNvCxnSpPr>
          <a:stCxn id="4" idx="3"/>
          <a:endCxn id="13" idx="1"/>
        </xdr:cNvCxnSpPr>
      </xdr:nvCxnSpPr>
      <xdr:spPr>
        <a:xfrm>
          <a:off x="2989812" y="995880"/>
          <a:ext cx="1366288" cy="1524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9</xdr:row>
      <xdr:rowOff>43380</xdr:rowOff>
    </xdr:from>
    <xdr:to>
      <xdr:col>7</xdr:col>
      <xdr:colOff>88900</xdr:colOff>
      <xdr:row>11</xdr:row>
      <xdr:rowOff>43380</xdr:rowOff>
    </xdr:to>
    <xdr:cxnSp macro="">
      <xdr:nvCxnSpPr>
        <xdr:cNvPr id="27" name="INPUT3 to CALC_CHK_A">
          <a:extLst>
            <a:ext uri="{FF2B5EF4-FFF2-40B4-BE49-F238E27FC236}">
              <a16:creationId xmlns:a16="http://schemas.microsoft.com/office/drawing/2014/main" id="{9951BC66-2CF3-43E1-A169-3A50EA5B0818}"/>
            </a:ext>
          </a:extLst>
        </xdr:cNvPr>
        <xdr:cNvCxnSpPr>
          <a:stCxn id="6" idx="3"/>
          <a:endCxn id="12" idx="1"/>
        </xdr:cNvCxnSpPr>
      </xdr:nvCxnSpPr>
      <xdr:spPr>
        <a:xfrm>
          <a:off x="2989812" y="1757880"/>
          <a:ext cx="1366288" cy="381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248998</xdr:colOff>
      <xdr:row>9</xdr:row>
      <xdr:rowOff>43380</xdr:rowOff>
    </xdr:from>
    <xdr:to>
      <xdr:col>8</xdr:col>
      <xdr:colOff>413915</xdr:colOff>
      <xdr:row>11</xdr:row>
      <xdr:rowOff>43380</xdr:rowOff>
    </xdr:to>
    <xdr:cxnSp macro="">
      <xdr:nvCxnSpPr>
        <xdr:cNvPr id="26" name="CALC_A_3 to CALC_CHK_A">
          <a:extLst>
            <a:ext uri="{FF2B5EF4-FFF2-40B4-BE49-F238E27FC236}">
              <a16:creationId xmlns:a16="http://schemas.microsoft.com/office/drawing/2014/main" id="{B4F64465-8A9F-45FA-9C4A-9E85A8E0D736}"/>
            </a:ext>
          </a:extLst>
        </xdr:cNvPr>
        <xdr:cNvCxnSpPr>
          <a:stCxn id="11" idx="3"/>
          <a:endCxn id="12" idx="3"/>
        </xdr:cNvCxnSpPr>
      </xdr:nvCxnSpPr>
      <xdr:spPr>
        <a:xfrm>
          <a:off x="5125798" y="1757880"/>
          <a:ext cx="164917" cy="381000"/>
        </a:xfrm>
        <a:prstGeom prst="curvedConnector3">
          <a:avLst>
            <a:gd name="adj1" fmla="val 238615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248998</xdr:colOff>
      <xdr:row>5</xdr:row>
      <xdr:rowOff>43380</xdr:rowOff>
    </xdr:from>
    <xdr:to>
      <xdr:col>8</xdr:col>
      <xdr:colOff>261698</xdr:colOff>
      <xdr:row>9</xdr:row>
      <xdr:rowOff>43380</xdr:rowOff>
    </xdr:to>
    <xdr:cxnSp macro="">
      <xdr:nvCxnSpPr>
        <xdr:cNvPr id="25" name="CALC_A_1 to CALC_A_3">
          <a:extLst>
            <a:ext uri="{FF2B5EF4-FFF2-40B4-BE49-F238E27FC236}">
              <a16:creationId xmlns:a16="http://schemas.microsoft.com/office/drawing/2014/main" id="{1CB62179-893E-4F5A-B357-C7988055759B}"/>
            </a:ext>
          </a:extLst>
        </xdr:cNvPr>
        <xdr:cNvCxnSpPr>
          <a:stCxn id="9" idx="3"/>
          <a:endCxn id="11" idx="3"/>
        </xdr:cNvCxnSpPr>
      </xdr:nvCxnSpPr>
      <xdr:spPr>
        <a:xfrm>
          <a:off x="5125798" y="995880"/>
          <a:ext cx="12700" cy="762000"/>
        </a:xfrm>
        <a:prstGeom prst="curvedConnector3">
          <a:avLst>
            <a:gd name="adj1" fmla="val 1800000"/>
          </a:avLst>
        </a:prstGeom>
        <a:ln w="32418">
          <a:solidFill>
            <a:srgbClr val="D9E1F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7</xdr:row>
      <xdr:rowOff>43380</xdr:rowOff>
    </xdr:from>
    <xdr:to>
      <xdr:col>7</xdr:col>
      <xdr:colOff>88900</xdr:colOff>
      <xdr:row>7</xdr:row>
      <xdr:rowOff>56080</xdr:rowOff>
    </xdr:to>
    <xdr:cxnSp macro="">
      <xdr:nvCxnSpPr>
        <xdr:cNvPr id="24" name="INPUT2 to CALC_A_2">
          <a:extLst>
            <a:ext uri="{FF2B5EF4-FFF2-40B4-BE49-F238E27FC236}">
              <a16:creationId xmlns:a16="http://schemas.microsoft.com/office/drawing/2014/main" id="{42A744B3-FAD7-4EFC-AAD8-63B8B0924FC7}"/>
            </a:ext>
          </a:extLst>
        </xdr:cNvPr>
        <xdr:cNvCxnSpPr>
          <a:stCxn id="5" idx="3"/>
          <a:endCxn id="10" idx="1"/>
        </xdr:cNvCxnSpPr>
      </xdr:nvCxnSpPr>
      <xdr:spPr>
        <a:xfrm>
          <a:off x="2989812" y="1376880"/>
          <a:ext cx="1366288" cy="127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5</xdr:row>
      <xdr:rowOff>43380</xdr:rowOff>
    </xdr:from>
    <xdr:to>
      <xdr:col>7</xdr:col>
      <xdr:colOff>88900</xdr:colOff>
      <xdr:row>7</xdr:row>
      <xdr:rowOff>43380</xdr:rowOff>
    </xdr:to>
    <xdr:cxnSp macro="">
      <xdr:nvCxnSpPr>
        <xdr:cNvPr id="23" name="INPUT1 to CALC_A_2">
          <a:extLst>
            <a:ext uri="{FF2B5EF4-FFF2-40B4-BE49-F238E27FC236}">
              <a16:creationId xmlns:a16="http://schemas.microsoft.com/office/drawing/2014/main" id="{004BFCF5-89CE-4B8B-977E-299534A498AB}"/>
            </a:ext>
          </a:extLst>
        </xdr:cNvPr>
        <xdr:cNvCxnSpPr>
          <a:stCxn id="4" idx="3"/>
          <a:endCxn id="10" idx="1"/>
        </xdr:cNvCxnSpPr>
      </xdr:nvCxnSpPr>
      <xdr:spPr>
        <a:xfrm>
          <a:off x="2989812" y="995880"/>
          <a:ext cx="1366288" cy="3810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551412</xdr:colOff>
      <xdr:row>5</xdr:row>
      <xdr:rowOff>43380</xdr:rowOff>
    </xdr:from>
    <xdr:to>
      <xdr:col>7</xdr:col>
      <xdr:colOff>88900</xdr:colOff>
      <xdr:row>5</xdr:row>
      <xdr:rowOff>56080</xdr:rowOff>
    </xdr:to>
    <xdr:cxnSp macro="">
      <xdr:nvCxnSpPr>
        <xdr:cNvPr id="22" name="INPUT1 to CALC_A_1">
          <a:extLst>
            <a:ext uri="{FF2B5EF4-FFF2-40B4-BE49-F238E27FC236}">
              <a16:creationId xmlns:a16="http://schemas.microsoft.com/office/drawing/2014/main" id="{8A4061C2-AC2E-42CF-B653-90010DD85FFC}"/>
            </a:ext>
          </a:extLst>
        </xdr:cNvPr>
        <xdr:cNvCxnSpPr>
          <a:stCxn id="4" idx="3"/>
          <a:endCxn id="9" idx="1"/>
        </xdr:cNvCxnSpPr>
      </xdr:nvCxnSpPr>
      <xdr:spPr>
        <a:xfrm>
          <a:off x="2989812" y="995880"/>
          <a:ext cx="1366288" cy="12700"/>
        </a:xfrm>
        <a:prstGeom prst="curvedConnector3">
          <a:avLst>
            <a:gd name="adj1" fmla="val 50000"/>
          </a:avLst>
        </a:prstGeom>
        <a:ln w="32418">
          <a:solidFill>
            <a:srgbClr val="E2EFDA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304800</xdr:colOff>
      <xdr:row>4</xdr:row>
      <xdr:rowOff>101600</xdr:rowOff>
    </xdr:from>
    <xdr:to>
      <xdr:col>2</xdr:col>
      <xdr:colOff>542483</xdr:colOff>
      <xdr:row>5</xdr:row>
      <xdr:rowOff>175660</xdr:rowOff>
    </xdr:to>
    <xdr:sp macro="" textlink="">
      <xdr:nvSpPr>
        <xdr:cNvPr id="2" name="version_lo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123689-2212-4107-9830-9D76C760692C}"/>
            </a:ext>
          </a:extLst>
        </xdr:cNvPr>
        <xdr:cNvSpPr/>
      </xdr:nvSpPr>
      <xdr:spPr>
        <a:xfrm>
          <a:off x="914400" y="863600"/>
          <a:ext cx="847283" cy="264560"/>
        </a:xfrm>
        <a:prstGeom prst="rect">
          <a:avLst/>
        </a:prstGeom>
        <a:solidFill>
          <a:srgbClr val="E6E6E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version_log</a:t>
          </a:r>
        </a:p>
      </xdr:txBody>
    </xdr:sp>
    <xdr:clientData/>
  </xdr:twoCellAnchor>
  <xdr:twoCellAnchor editAs="absolute">
    <xdr:from>
      <xdr:col>1</xdr:col>
      <xdr:colOff>304800</xdr:colOff>
      <xdr:row>6</xdr:row>
      <xdr:rowOff>101600</xdr:rowOff>
    </xdr:from>
    <xdr:to>
      <xdr:col>3</xdr:col>
      <xdr:colOff>170449</xdr:colOff>
      <xdr:row>7</xdr:row>
      <xdr:rowOff>175660</xdr:rowOff>
    </xdr:to>
    <xdr:sp macro="" textlink="">
      <xdr:nvSpPr>
        <xdr:cNvPr id="3" name="workbook_map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152A802-E25F-4F25-A277-1FFFFFB97BE1}"/>
            </a:ext>
          </a:extLst>
        </xdr:cNvPr>
        <xdr:cNvSpPr/>
      </xdr:nvSpPr>
      <xdr:spPr>
        <a:xfrm>
          <a:off x="914400" y="1244600"/>
          <a:ext cx="1084849" cy="264560"/>
        </a:xfrm>
        <a:prstGeom prst="rect">
          <a:avLst/>
        </a:prstGeom>
        <a:solidFill>
          <a:srgbClr val="E6E6E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workbook_map</a:t>
          </a:r>
        </a:p>
      </xdr:txBody>
    </xdr:sp>
    <xdr:clientData/>
  </xdr:twoCellAnchor>
  <xdr:twoCellAnchor editAs="absolute">
    <xdr:from>
      <xdr:col>3</xdr:col>
      <xdr:colOff>546100</xdr:colOff>
      <xdr:row>4</xdr:row>
      <xdr:rowOff>101600</xdr:rowOff>
    </xdr:from>
    <xdr:to>
      <xdr:col>4</xdr:col>
      <xdr:colOff>551412</xdr:colOff>
      <xdr:row>5</xdr:row>
      <xdr:rowOff>175660</xdr:rowOff>
    </xdr:to>
    <xdr:sp macro="" textlink="">
      <xdr:nvSpPr>
        <xdr:cNvPr id="4" name="INPUT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CB6B29-E41C-43A2-9CF0-594C75892EE2}"/>
            </a:ext>
          </a:extLst>
        </xdr:cNvPr>
        <xdr:cNvSpPr/>
      </xdr:nvSpPr>
      <xdr:spPr>
        <a:xfrm>
          <a:off x="2374900" y="863600"/>
          <a:ext cx="614912" cy="264560"/>
        </a:xfrm>
        <a:prstGeom prst="rect">
          <a:avLst/>
        </a:prstGeom>
        <a:solidFill>
          <a:srgbClr val="E2EFDA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INPUT1</a:t>
          </a:r>
        </a:p>
      </xdr:txBody>
    </xdr:sp>
    <xdr:clientData/>
  </xdr:twoCellAnchor>
  <xdr:twoCellAnchor editAs="absolute">
    <xdr:from>
      <xdr:col>3</xdr:col>
      <xdr:colOff>546100</xdr:colOff>
      <xdr:row>6</xdr:row>
      <xdr:rowOff>101600</xdr:rowOff>
    </xdr:from>
    <xdr:to>
      <xdr:col>4</xdr:col>
      <xdr:colOff>551412</xdr:colOff>
      <xdr:row>7</xdr:row>
      <xdr:rowOff>175660</xdr:rowOff>
    </xdr:to>
    <xdr:sp macro="" textlink="">
      <xdr:nvSpPr>
        <xdr:cNvPr id="5" name="INPUT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9A7330-ED17-4A54-AF80-B2BC9824759A}"/>
            </a:ext>
          </a:extLst>
        </xdr:cNvPr>
        <xdr:cNvSpPr/>
      </xdr:nvSpPr>
      <xdr:spPr>
        <a:xfrm>
          <a:off x="2374900" y="1244600"/>
          <a:ext cx="614912" cy="264560"/>
        </a:xfrm>
        <a:prstGeom prst="rect">
          <a:avLst/>
        </a:prstGeom>
        <a:solidFill>
          <a:srgbClr val="E2EFDA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INPUT2</a:t>
          </a:r>
        </a:p>
      </xdr:txBody>
    </xdr:sp>
    <xdr:clientData/>
  </xdr:twoCellAnchor>
  <xdr:twoCellAnchor editAs="absolute">
    <xdr:from>
      <xdr:col>3</xdr:col>
      <xdr:colOff>546100</xdr:colOff>
      <xdr:row>8</xdr:row>
      <xdr:rowOff>101600</xdr:rowOff>
    </xdr:from>
    <xdr:to>
      <xdr:col>4</xdr:col>
      <xdr:colOff>551412</xdr:colOff>
      <xdr:row>9</xdr:row>
      <xdr:rowOff>175660</xdr:rowOff>
    </xdr:to>
    <xdr:sp macro="" textlink="">
      <xdr:nvSpPr>
        <xdr:cNvPr id="6" name="INPUT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5D372A-3048-4594-89A3-B4C77BAF8076}"/>
            </a:ext>
          </a:extLst>
        </xdr:cNvPr>
        <xdr:cNvSpPr/>
      </xdr:nvSpPr>
      <xdr:spPr>
        <a:xfrm>
          <a:off x="2374900" y="1625600"/>
          <a:ext cx="614912" cy="264560"/>
        </a:xfrm>
        <a:prstGeom prst="rect">
          <a:avLst/>
        </a:prstGeom>
        <a:solidFill>
          <a:srgbClr val="E2EFDA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INPUT3</a:t>
          </a:r>
        </a:p>
      </xdr:txBody>
    </xdr:sp>
    <xdr:clientData/>
  </xdr:twoCellAnchor>
  <xdr:twoCellAnchor editAs="absolute">
    <xdr:from>
      <xdr:col>3</xdr:col>
      <xdr:colOff>546100</xdr:colOff>
      <xdr:row>10</xdr:row>
      <xdr:rowOff>101600</xdr:rowOff>
    </xdr:from>
    <xdr:to>
      <xdr:col>4</xdr:col>
      <xdr:colOff>551412</xdr:colOff>
      <xdr:row>11</xdr:row>
      <xdr:rowOff>175660</xdr:rowOff>
    </xdr:to>
    <xdr:sp macro="" textlink="">
      <xdr:nvSpPr>
        <xdr:cNvPr id="7" name="INPUT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CAE685D-A2A5-46CE-9A9C-49F42B8F05FB}"/>
            </a:ext>
          </a:extLst>
        </xdr:cNvPr>
        <xdr:cNvSpPr/>
      </xdr:nvSpPr>
      <xdr:spPr>
        <a:xfrm>
          <a:off x="2374900" y="2006600"/>
          <a:ext cx="614912" cy="264560"/>
        </a:xfrm>
        <a:prstGeom prst="rect">
          <a:avLst/>
        </a:prstGeom>
        <a:solidFill>
          <a:srgbClr val="E2EFDA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INPUT4</a:t>
          </a:r>
        </a:p>
      </xdr:txBody>
    </xdr:sp>
    <xdr:clientData/>
  </xdr:twoCellAnchor>
  <xdr:twoCellAnchor editAs="absolute">
    <xdr:from>
      <xdr:col>5</xdr:col>
      <xdr:colOff>317500</xdr:colOff>
      <xdr:row>4</xdr:row>
      <xdr:rowOff>101600</xdr:rowOff>
    </xdr:from>
    <xdr:to>
      <xdr:col>6</xdr:col>
      <xdr:colOff>319029</xdr:colOff>
      <xdr:row>5</xdr:row>
      <xdr:rowOff>175660</xdr:rowOff>
    </xdr:to>
    <xdr:sp macro="" textlink="">
      <xdr:nvSpPr>
        <xdr:cNvPr id="8" name="CALCS&gt;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6C8BB8F-B39C-473F-A9A1-83015FEAF9CF}"/>
            </a:ext>
          </a:extLst>
        </xdr:cNvPr>
        <xdr:cNvSpPr/>
      </xdr:nvSpPr>
      <xdr:spPr>
        <a:xfrm>
          <a:off x="3365500" y="863600"/>
          <a:ext cx="611129" cy="264560"/>
        </a:xfrm>
        <a:prstGeom prst="rect">
          <a:avLst/>
        </a:prstGeom>
        <a:solidFill>
          <a:srgbClr val="7030A0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FFFFFF"/>
              </a:solidFill>
            </a:rPr>
            <a:t>CALCS&gt;</a:t>
          </a:r>
        </a:p>
      </xdr:txBody>
    </xdr:sp>
    <xdr:clientData/>
  </xdr:twoCellAnchor>
  <xdr:twoCellAnchor editAs="absolute">
    <xdr:from>
      <xdr:col>7</xdr:col>
      <xdr:colOff>88900</xdr:colOff>
      <xdr:row>4</xdr:row>
      <xdr:rowOff>101600</xdr:rowOff>
    </xdr:from>
    <xdr:to>
      <xdr:col>8</xdr:col>
      <xdr:colOff>248998</xdr:colOff>
      <xdr:row>5</xdr:row>
      <xdr:rowOff>175660</xdr:rowOff>
    </xdr:to>
    <xdr:sp macro="" textlink="">
      <xdr:nvSpPr>
        <xdr:cNvPr id="9" name="CALC_A_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6054A0-BCC2-48F1-A3D2-0807E62B289A}"/>
            </a:ext>
          </a:extLst>
        </xdr:cNvPr>
        <xdr:cNvSpPr/>
      </xdr:nvSpPr>
      <xdr:spPr>
        <a:xfrm>
          <a:off x="4356100" y="863600"/>
          <a:ext cx="769698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CALC_A_1</a:t>
          </a:r>
        </a:p>
      </xdr:txBody>
    </xdr:sp>
    <xdr:clientData/>
  </xdr:twoCellAnchor>
  <xdr:twoCellAnchor editAs="absolute">
    <xdr:from>
      <xdr:col>7</xdr:col>
      <xdr:colOff>88900</xdr:colOff>
      <xdr:row>6</xdr:row>
      <xdr:rowOff>101600</xdr:rowOff>
    </xdr:from>
    <xdr:to>
      <xdr:col>8</xdr:col>
      <xdr:colOff>248998</xdr:colOff>
      <xdr:row>7</xdr:row>
      <xdr:rowOff>175660</xdr:rowOff>
    </xdr:to>
    <xdr:sp macro="" textlink="">
      <xdr:nvSpPr>
        <xdr:cNvPr id="10" name="CALC_A_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2340038-557B-46CF-A42A-138869501BB0}"/>
            </a:ext>
          </a:extLst>
        </xdr:cNvPr>
        <xdr:cNvSpPr/>
      </xdr:nvSpPr>
      <xdr:spPr>
        <a:xfrm>
          <a:off x="4356100" y="1244600"/>
          <a:ext cx="769698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CALC_A_2</a:t>
          </a:r>
        </a:p>
      </xdr:txBody>
    </xdr:sp>
    <xdr:clientData/>
  </xdr:twoCellAnchor>
  <xdr:twoCellAnchor editAs="absolute">
    <xdr:from>
      <xdr:col>7</xdr:col>
      <xdr:colOff>88900</xdr:colOff>
      <xdr:row>8</xdr:row>
      <xdr:rowOff>101600</xdr:rowOff>
    </xdr:from>
    <xdr:to>
      <xdr:col>8</xdr:col>
      <xdr:colOff>248998</xdr:colOff>
      <xdr:row>9</xdr:row>
      <xdr:rowOff>175660</xdr:rowOff>
    </xdr:to>
    <xdr:sp macro="" textlink="">
      <xdr:nvSpPr>
        <xdr:cNvPr id="11" name="CALC_A_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54C6155-0503-4D88-9A5F-9B8F06115CF2}"/>
            </a:ext>
          </a:extLst>
        </xdr:cNvPr>
        <xdr:cNvSpPr/>
      </xdr:nvSpPr>
      <xdr:spPr>
        <a:xfrm>
          <a:off x="4356100" y="1625600"/>
          <a:ext cx="769698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CALC_A_3</a:t>
          </a:r>
        </a:p>
      </xdr:txBody>
    </xdr:sp>
    <xdr:clientData/>
  </xdr:twoCellAnchor>
  <xdr:twoCellAnchor editAs="absolute">
    <xdr:from>
      <xdr:col>7</xdr:col>
      <xdr:colOff>88900</xdr:colOff>
      <xdr:row>10</xdr:row>
      <xdr:rowOff>101600</xdr:rowOff>
    </xdr:from>
    <xdr:to>
      <xdr:col>8</xdr:col>
      <xdr:colOff>413915</xdr:colOff>
      <xdr:row>11</xdr:row>
      <xdr:rowOff>175660</xdr:rowOff>
    </xdr:to>
    <xdr:sp macro="" textlink="">
      <xdr:nvSpPr>
        <xdr:cNvPr id="12" name="CALC_CHK_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636BDFC-1954-4F87-B69F-6D78DA2D8D0F}"/>
            </a:ext>
          </a:extLst>
        </xdr:cNvPr>
        <xdr:cNvSpPr/>
      </xdr:nvSpPr>
      <xdr:spPr>
        <a:xfrm>
          <a:off x="4356100" y="2006600"/>
          <a:ext cx="934615" cy="264560"/>
        </a:xfrm>
        <a:prstGeom prst="rect">
          <a:avLst/>
        </a:prstGeom>
        <a:solidFill>
          <a:srgbClr val="8EA9DB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CALC_CHK_A</a:t>
          </a:r>
        </a:p>
      </xdr:txBody>
    </xdr:sp>
    <xdr:clientData/>
  </xdr:twoCellAnchor>
  <xdr:twoCellAnchor editAs="absolute">
    <xdr:from>
      <xdr:col>7</xdr:col>
      <xdr:colOff>88900</xdr:colOff>
      <xdr:row>12</xdr:row>
      <xdr:rowOff>101600</xdr:rowOff>
    </xdr:from>
    <xdr:to>
      <xdr:col>8</xdr:col>
      <xdr:colOff>173849</xdr:colOff>
      <xdr:row>13</xdr:row>
      <xdr:rowOff>175660</xdr:rowOff>
    </xdr:to>
    <xdr:sp macro="" textlink="">
      <xdr:nvSpPr>
        <xdr:cNvPr id="13" name="CALC_B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A2A5C99-32AB-4C9C-81D3-CB0405B701C5}"/>
            </a:ext>
          </a:extLst>
        </xdr:cNvPr>
        <xdr:cNvSpPr/>
      </xdr:nvSpPr>
      <xdr:spPr>
        <a:xfrm>
          <a:off x="4356100" y="2387600"/>
          <a:ext cx="694549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CALC_B1</a:t>
          </a:r>
        </a:p>
      </xdr:txBody>
    </xdr:sp>
    <xdr:clientData/>
  </xdr:twoCellAnchor>
  <xdr:twoCellAnchor editAs="absolute">
    <xdr:from>
      <xdr:col>7</xdr:col>
      <xdr:colOff>88900</xdr:colOff>
      <xdr:row>14</xdr:row>
      <xdr:rowOff>101600</xdr:rowOff>
    </xdr:from>
    <xdr:to>
      <xdr:col>8</xdr:col>
      <xdr:colOff>173849</xdr:colOff>
      <xdr:row>15</xdr:row>
      <xdr:rowOff>175660</xdr:rowOff>
    </xdr:to>
    <xdr:sp macro="" textlink="">
      <xdr:nvSpPr>
        <xdr:cNvPr id="14" name="CALC_B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77B1F2A-33BE-4D19-952F-675517BF2F8E}"/>
            </a:ext>
          </a:extLst>
        </xdr:cNvPr>
        <xdr:cNvSpPr/>
      </xdr:nvSpPr>
      <xdr:spPr>
        <a:xfrm>
          <a:off x="4356100" y="2768600"/>
          <a:ext cx="694549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CALC_B2</a:t>
          </a:r>
        </a:p>
      </xdr:txBody>
    </xdr:sp>
    <xdr:clientData/>
  </xdr:twoCellAnchor>
  <xdr:twoCellAnchor editAs="absolute">
    <xdr:from>
      <xdr:col>7</xdr:col>
      <xdr:colOff>88900</xdr:colOff>
      <xdr:row>16</xdr:row>
      <xdr:rowOff>101600</xdr:rowOff>
    </xdr:from>
    <xdr:to>
      <xdr:col>8</xdr:col>
      <xdr:colOff>173849</xdr:colOff>
      <xdr:row>17</xdr:row>
      <xdr:rowOff>175660</xdr:rowOff>
    </xdr:to>
    <xdr:sp macro="" textlink="">
      <xdr:nvSpPr>
        <xdr:cNvPr id="15" name="CALC_B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5A7698D-55F7-4183-AEAE-373396DD8016}"/>
            </a:ext>
          </a:extLst>
        </xdr:cNvPr>
        <xdr:cNvSpPr/>
      </xdr:nvSpPr>
      <xdr:spPr>
        <a:xfrm>
          <a:off x="4356100" y="3149600"/>
          <a:ext cx="694549" cy="264560"/>
        </a:xfrm>
        <a:prstGeom prst="rect">
          <a:avLst/>
        </a:prstGeom>
        <a:solidFill>
          <a:srgbClr val="D9E1F2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CALC_B3</a:t>
          </a:r>
        </a:p>
      </xdr:txBody>
    </xdr:sp>
    <xdr:clientData/>
  </xdr:twoCellAnchor>
  <xdr:twoCellAnchor editAs="absolute">
    <xdr:from>
      <xdr:col>7</xdr:col>
      <xdr:colOff>88900</xdr:colOff>
      <xdr:row>18</xdr:row>
      <xdr:rowOff>101600</xdr:rowOff>
    </xdr:from>
    <xdr:to>
      <xdr:col>8</xdr:col>
      <xdr:colOff>409042</xdr:colOff>
      <xdr:row>19</xdr:row>
      <xdr:rowOff>175660</xdr:rowOff>
    </xdr:to>
    <xdr:sp macro="" textlink="">
      <xdr:nvSpPr>
        <xdr:cNvPr id="16" name="CALC_CHK_B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B579D8B-1F29-4118-ACBC-F729F1735FCE}"/>
            </a:ext>
          </a:extLst>
        </xdr:cNvPr>
        <xdr:cNvSpPr/>
      </xdr:nvSpPr>
      <xdr:spPr>
        <a:xfrm>
          <a:off x="4356100" y="3530600"/>
          <a:ext cx="929742" cy="264560"/>
        </a:xfrm>
        <a:prstGeom prst="rect">
          <a:avLst/>
        </a:prstGeom>
        <a:solidFill>
          <a:srgbClr val="8EA9DB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CALC_CHK_B</a:t>
          </a:r>
        </a:p>
      </xdr:txBody>
    </xdr:sp>
    <xdr:clientData/>
  </xdr:twoCellAnchor>
  <xdr:twoCellAnchor editAs="absolute">
    <xdr:from>
      <xdr:col>7</xdr:col>
      <xdr:colOff>88900</xdr:colOff>
      <xdr:row>20</xdr:row>
      <xdr:rowOff>101600</xdr:rowOff>
    </xdr:from>
    <xdr:to>
      <xdr:col>9</xdr:col>
      <xdr:colOff>104397</xdr:colOff>
      <xdr:row>21</xdr:row>
      <xdr:rowOff>175660</xdr:rowOff>
    </xdr:to>
    <xdr:sp macro="" textlink="">
      <xdr:nvSpPr>
        <xdr:cNvPr id="17" name="SUMMARY_CALC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AE801AA-647C-44A6-B74E-77DB0D2C77AA}"/>
            </a:ext>
          </a:extLst>
        </xdr:cNvPr>
        <xdr:cNvSpPr/>
      </xdr:nvSpPr>
      <xdr:spPr>
        <a:xfrm>
          <a:off x="4356100" y="3911600"/>
          <a:ext cx="1234697" cy="264560"/>
        </a:xfrm>
        <a:prstGeom prst="rect">
          <a:avLst/>
        </a:prstGeom>
        <a:solidFill>
          <a:srgbClr val="203764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FFFFFF"/>
              </a:solidFill>
            </a:rPr>
            <a:t>SUMMARY_CALCS</a:t>
          </a:r>
        </a:p>
      </xdr:txBody>
    </xdr:sp>
    <xdr:clientData/>
  </xdr:twoCellAnchor>
  <xdr:twoCellAnchor editAs="absolute">
    <xdr:from>
      <xdr:col>7</xdr:col>
      <xdr:colOff>88900</xdr:colOff>
      <xdr:row>22</xdr:row>
      <xdr:rowOff>101600</xdr:rowOff>
    </xdr:from>
    <xdr:to>
      <xdr:col>9</xdr:col>
      <xdr:colOff>353183</xdr:colOff>
      <xdr:row>23</xdr:row>
      <xdr:rowOff>175660</xdr:rowOff>
    </xdr:to>
    <xdr:sp macro="" textlink="">
      <xdr:nvSpPr>
        <xdr:cNvPr id="18" name="SUMMARY_CALCS_csv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3BC8167-DDE3-4C21-A6D6-952D86EBE232}"/>
            </a:ext>
          </a:extLst>
        </xdr:cNvPr>
        <xdr:cNvSpPr/>
      </xdr:nvSpPr>
      <xdr:spPr>
        <a:xfrm>
          <a:off x="4356100" y="4292600"/>
          <a:ext cx="1483483" cy="264560"/>
        </a:xfrm>
        <a:prstGeom prst="rect">
          <a:avLst/>
        </a:prstGeom>
        <a:solidFill>
          <a:srgbClr val="203764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FFFFFF"/>
              </a:solidFill>
            </a:rPr>
            <a:t>SUMMARY_CALCS_csv</a:t>
          </a:r>
        </a:p>
      </xdr:txBody>
    </xdr:sp>
    <xdr:clientData/>
  </xdr:twoCellAnchor>
  <xdr:twoCellAnchor editAs="absolute">
    <xdr:from>
      <xdr:col>10</xdr:col>
      <xdr:colOff>127000</xdr:colOff>
      <xdr:row>4</xdr:row>
      <xdr:rowOff>101600</xdr:rowOff>
    </xdr:from>
    <xdr:to>
      <xdr:col>11</xdr:col>
      <xdr:colOff>322044</xdr:colOff>
      <xdr:row>5</xdr:row>
      <xdr:rowOff>175660</xdr:rowOff>
    </xdr:to>
    <xdr:sp macro="" textlink="">
      <xdr:nvSpPr>
        <xdr:cNvPr id="19" name="OUTPUTS&gt;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E8CF959-AAB1-4616-9AD8-E3542F08BB98}"/>
            </a:ext>
          </a:extLst>
        </xdr:cNvPr>
        <xdr:cNvSpPr/>
      </xdr:nvSpPr>
      <xdr:spPr>
        <a:xfrm>
          <a:off x="6223000" y="863600"/>
          <a:ext cx="804644" cy="264560"/>
        </a:xfrm>
        <a:prstGeom prst="rect">
          <a:avLst/>
        </a:prstGeom>
        <a:solidFill>
          <a:srgbClr val="7030A0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FFFFFF"/>
              </a:solidFill>
            </a:rPr>
            <a:t>OUTPUTS&gt;</a:t>
          </a:r>
        </a:p>
      </xdr:txBody>
    </xdr:sp>
    <xdr:clientData/>
  </xdr:twoCellAnchor>
  <xdr:twoCellAnchor editAs="absolute">
    <xdr:from>
      <xdr:col>12</xdr:col>
      <xdr:colOff>88900</xdr:colOff>
      <xdr:row>4</xdr:row>
      <xdr:rowOff>101600</xdr:rowOff>
    </xdr:from>
    <xdr:to>
      <xdr:col>13</xdr:col>
      <xdr:colOff>146342</xdr:colOff>
      <xdr:row>5</xdr:row>
      <xdr:rowOff>175660</xdr:rowOff>
    </xdr:to>
    <xdr:sp macro="" textlink="">
      <xdr:nvSpPr>
        <xdr:cNvPr id="20" name="Results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1A0E6F0-A826-4AF4-9E22-390F0EE29E59}"/>
            </a:ext>
          </a:extLst>
        </xdr:cNvPr>
        <xdr:cNvSpPr/>
      </xdr:nvSpPr>
      <xdr:spPr>
        <a:xfrm>
          <a:off x="7404100" y="863600"/>
          <a:ext cx="667042" cy="264560"/>
        </a:xfrm>
        <a:prstGeom prst="rect">
          <a:avLst/>
        </a:prstGeom>
        <a:solidFill>
          <a:srgbClr val="F8CBAD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Results1</a:t>
          </a:r>
        </a:p>
      </xdr:txBody>
    </xdr:sp>
    <xdr:clientData/>
  </xdr:twoCellAnchor>
  <xdr:twoCellAnchor editAs="absolute">
    <xdr:from>
      <xdr:col>12</xdr:col>
      <xdr:colOff>88900</xdr:colOff>
      <xdr:row>6</xdr:row>
      <xdr:rowOff>101600</xdr:rowOff>
    </xdr:from>
    <xdr:to>
      <xdr:col>13</xdr:col>
      <xdr:colOff>146342</xdr:colOff>
      <xdr:row>7</xdr:row>
      <xdr:rowOff>175660</xdr:rowOff>
    </xdr:to>
    <xdr:sp macro="" textlink="">
      <xdr:nvSpPr>
        <xdr:cNvPr id="21" name="Results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D4653AD-AC87-44ED-880B-D17648FFB0E0}"/>
            </a:ext>
          </a:extLst>
        </xdr:cNvPr>
        <xdr:cNvSpPr/>
      </xdr:nvSpPr>
      <xdr:spPr>
        <a:xfrm>
          <a:off x="7404100" y="1244600"/>
          <a:ext cx="667042" cy="264560"/>
        </a:xfrm>
        <a:prstGeom prst="rect">
          <a:avLst/>
        </a:prstGeom>
        <a:solidFill>
          <a:srgbClr val="F8CBAD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GB" sz="1100">
              <a:solidFill>
                <a:srgbClr val="000000"/>
              </a:solidFill>
            </a:rPr>
            <a:t>Results2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3:C6"/>
  <sheetViews>
    <sheetView workbookViewId="0">
      <selection activeCell="C6" sqref="C6"/>
    </sheetView>
  </sheetViews>
  <sheetFormatPr defaultRowHeight="15" x14ac:dyDescent="0.25"/>
  <sheetData>
    <row r="3" spans="2:3" x14ac:dyDescent="0.25">
      <c r="B3">
        <v>0.1</v>
      </c>
      <c r="C3" t="s">
        <v>0</v>
      </c>
    </row>
    <row r="4" spans="2:3" x14ac:dyDescent="0.25">
      <c r="B4">
        <v>0.2</v>
      </c>
      <c r="C4" t="s">
        <v>1</v>
      </c>
    </row>
    <row r="5" spans="2:3" x14ac:dyDescent="0.25">
      <c r="B5">
        <v>0.3</v>
      </c>
      <c r="C5" t="s">
        <v>2</v>
      </c>
    </row>
    <row r="6" spans="2:3" x14ac:dyDescent="0.25">
      <c r="B6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tabSelected="1" workbookViewId="0">
      <selection activeCell="P18" sqref="P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12"/>
  <sheetViews>
    <sheetView workbookViewId="0">
      <selection activeCell="B2" sqref="B2:D12"/>
    </sheetView>
  </sheetViews>
  <sheetFormatPr defaultRowHeight="15" x14ac:dyDescent="0.25"/>
  <sheetData>
    <row r="2" spans="2:4" x14ac:dyDescent="0.25">
      <c r="B2" t="s">
        <v>5</v>
      </c>
      <c r="C2" t="s">
        <v>4</v>
      </c>
      <c r="D2" t="s">
        <v>6</v>
      </c>
    </row>
    <row r="3" spans="2:4" x14ac:dyDescent="0.25">
      <c r="B3">
        <v>1</v>
      </c>
      <c r="C3">
        <v>17</v>
      </c>
      <c r="D3">
        <v>68</v>
      </c>
    </row>
    <row r="4" spans="2:4" x14ac:dyDescent="0.25">
      <c r="B4">
        <v>2</v>
      </c>
      <c r="C4">
        <v>249</v>
      </c>
      <c r="D4">
        <v>31</v>
      </c>
    </row>
    <row r="5" spans="2:4" x14ac:dyDescent="0.25">
      <c r="B5">
        <v>3</v>
      </c>
      <c r="C5">
        <v>81</v>
      </c>
      <c r="D5">
        <v>11</v>
      </c>
    </row>
    <row r="6" spans="2:4" x14ac:dyDescent="0.25">
      <c r="B6">
        <v>4</v>
      </c>
      <c r="C6">
        <v>68</v>
      </c>
      <c r="D6">
        <v>18</v>
      </c>
    </row>
    <row r="7" spans="2:4" x14ac:dyDescent="0.25">
      <c r="B7">
        <v>5</v>
      </c>
      <c r="C7">
        <v>398</v>
      </c>
      <c r="D7">
        <v>478</v>
      </c>
    </row>
    <row r="8" spans="2:4" x14ac:dyDescent="0.25">
      <c r="B8">
        <v>6</v>
      </c>
      <c r="C8">
        <v>85</v>
      </c>
      <c r="D8">
        <v>31</v>
      </c>
    </row>
    <row r="9" spans="2:4" x14ac:dyDescent="0.25">
      <c r="B9">
        <v>7</v>
      </c>
      <c r="C9">
        <v>61</v>
      </c>
      <c r="D9">
        <v>20</v>
      </c>
    </row>
    <row r="10" spans="2:4" x14ac:dyDescent="0.25">
      <c r="B10">
        <v>8</v>
      </c>
      <c r="C10">
        <v>171</v>
      </c>
      <c r="D10">
        <v>28</v>
      </c>
    </row>
    <row r="11" spans="2:4" x14ac:dyDescent="0.25">
      <c r="B11">
        <v>9</v>
      </c>
      <c r="C11">
        <v>44</v>
      </c>
      <c r="D11">
        <v>17</v>
      </c>
    </row>
    <row r="12" spans="2:4" x14ac:dyDescent="0.25">
      <c r="B12">
        <v>10</v>
      </c>
      <c r="C12">
        <v>91</v>
      </c>
      <c r="D12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B2:D12"/>
  <sheetViews>
    <sheetView workbookViewId="0">
      <selection activeCell="D3" sqref="D3"/>
    </sheetView>
  </sheetViews>
  <sheetFormatPr defaultRowHeight="15" x14ac:dyDescent="0.25"/>
  <sheetData>
    <row r="2" spans="2:4" x14ac:dyDescent="0.25">
      <c r="B2" t="s">
        <v>5</v>
      </c>
      <c r="C2" t="s">
        <v>4</v>
      </c>
      <c r="D2" t="s">
        <v>6</v>
      </c>
    </row>
    <row r="3" spans="2:4" x14ac:dyDescent="0.25">
      <c r="B3">
        <v>1</v>
      </c>
      <c r="C3">
        <v>628</v>
      </c>
      <c r="D3">
        <v>24</v>
      </c>
    </row>
    <row r="4" spans="2:4" x14ac:dyDescent="0.25">
      <c r="B4">
        <v>2</v>
      </c>
      <c r="C4">
        <v>79</v>
      </c>
      <c r="D4">
        <v>48</v>
      </c>
    </row>
    <row r="5" spans="2:4" x14ac:dyDescent="0.25">
      <c r="B5">
        <v>3</v>
      </c>
      <c r="C5">
        <v>40</v>
      </c>
      <c r="D5">
        <v>12</v>
      </c>
    </row>
    <row r="6" spans="2:4" x14ac:dyDescent="0.25">
      <c r="B6">
        <v>4</v>
      </c>
      <c r="C6">
        <v>41</v>
      </c>
      <c r="D6">
        <v>22</v>
      </c>
    </row>
    <row r="7" spans="2:4" x14ac:dyDescent="0.25">
      <c r="B7">
        <v>5</v>
      </c>
      <c r="C7">
        <v>58</v>
      </c>
      <c r="D7">
        <v>15</v>
      </c>
    </row>
    <row r="8" spans="2:4" x14ac:dyDescent="0.25">
      <c r="B8">
        <v>6</v>
      </c>
      <c r="C8">
        <v>192</v>
      </c>
      <c r="D8">
        <v>16</v>
      </c>
    </row>
    <row r="9" spans="2:4" x14ac:dyDescent="0.25">
      <c r="B9">
        <v>7</v>
      </c>
      <c r="C9">
        <v>208</v>
      </c>
      <c r="D9">
        <v>11</v>
      </c>
    </row>
    <row r="10" spans="2:4" x14ac:dyDescent="0.25">
      <c r="B10">
        <v>8</v>
      </c>
      <c r="C10">
        <v>13</v>
      </c>
      <c r="D10">
        <v>10</v>
      </c>
    </row>
    <row r="11" spans="2:4" x14ac:dyDescent="0.25">
      <c r="B11">
        <v>9</v>
      </c>
      <c r="C11">
        <v>57</v>
      </c>
      <c r="D11">
        <v>27</v>
      </c>
    </row>
    <row r="12" spans="2:4" x14ac:dyDescent="0.25">
      <c r="B12">
        <v>10</v>
      </c>
      <c r="C12">
        <v>35</v>
      </c>
      <c r="D12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B2:D12"/>
  <sheetViews>
    <sheetView workbookViewId="0">
      <selection activeCell="B2" sqref="B2:D12"/>
    </sheetView>
  </sheetViews>
  <sheetFormatPr defaultRowHeight="15" x14ac:dyDescent="0.25"/>
  <sheetData>
    <row r="2" spans="2:4" x14ac:dyDescent="0.25">
      <c r="B2" t="s">
        <v>5</v>
      </c>
      <c r="C2" t="s">
        <v>4</v>
      </c>
      <c r="D2" t="s">
        <v>6</v>
      </c>
    </row>
    <row r="3" spans="2:4" x14ac:dyDescent="0.25">
      <c r="B3">
        <v>1</v>
      </c>
      <c r="C3">
        <v>39</v>
      </c>
      <c r="D3">
        <v>17</v>
      </c>
    </row>
    <row r="4" spans="2:4" x14ac:dyDescent="0.25">
      <c r="B4">
        <v>2</v>
      </c>
      <c r="C4">
        <v>158</v>
      </c>
      <c r="D4">
        <v>17</v>
      </c>
    </row>
    <row r="5" spans="2:4" x14ac:dyDescent="0.25">
      <c r="B5">
        <v>3</v>
      </c>
      <c r="C5">
        <v>503</v>
      </c>
      <c r="D5">
        <v>46</v>
      </c>
    </row>
    <row r="6" spans="2:4" x14ac:dyDescent="0.25">
      <c r="B6">
        <v>4</v>
      </c>
      <c r="C6">
        <v>212</v>
      </c>
      <c r="D6">
        <v>11</v>
      </c>
    </row>
    <row r="7" spans="2:4" x14ac:dyDescent="0.25">
      <c r="B7">
        <v>5</v>
      </c>
      <c r="C7">
        <v>207</v>
      </c>
      <c r="D7">
        <v>39</v>
      </c>
    </row>
    <row r="8" spans="2:4" x14ac:dyDescent="0.25">
      <c r="B8">
        <v>6</v>
      </c>
      <c r="C8">
        <v>160</v>
      </c>
      <c r="D8">
        <v>16</v>
      </c>
    </row>
    <row r="9" spans="2:4" x14ac:dyDescent="0.25">
      <c r="B9">
        <v>7</v>
      </c>
      <c r="C9">
        <v>120</v>
      </c>
      <c r="D9">
        <v>23</v>
      </c>
    </row>
    <row r="10" spans="2:4" x14ac:dyDescent="0.25">
      <c r="B10">
        <v>8</v>
      </c>
      <c r="C10">
        <v>13</v>
      </c>
      <c r="D10">
        <v>10</v>
      </c>
    </row>
    <row r="11" spans="2:4" x14ac:dyDescent="0.25">
      <c r="B11">
        <v>9</v>
      </c>
      <c r="C11">
        <v>87</v>
      </c>
      <c r="D11">
        <v>12</v>
      </c>
    </row>
    <row r="12" spans="2:4" x14ac:dyDescent="0.25">
      <c r="B12">
        <v>10</v>
      </c>
      <c r="C12">
        <v>46772</v>
      </c>
      <c r="D12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B2:D12"/>
  <sheetViews>
    <sheetView workbookViewId="0">
      <selection activeCell="B2" sqref="B2:D12"/>
    </sheetView>
  </sheetViews>
  <sheetFormatPr defaultRowHeight="15" x14ac:dyDescent="0.25"/>
  <sheetData>
    <row r="2" spans="2:4" x14ac:dyDescent="0.25">
      <c r="B2" t="s">
        <v>5</v>
      </c>
      <c r="C2" t="s">
        <v>4</v>
      </c>
      <c r="D2" t="s">
        <v>6</v>
      </c>
    </row>
    <row r="3" spans="2:4" x14ac:dyDescent="0.25">
      <c r="B3">
        <v>1</v>
      </c>
      <c r="C3">
        <v>38</v>
      </c>
      <c r="D3">
        <v>40</v>
      </c>
    </row>
    <row r="4" spans="2:4" x14ac:dyDescent="0.25">
      <c r="B4">
        <v>2</v>
      </c>
      <c r="C4">
        <v>96</v>
      </c>
      <c r="D4">
        <v>11</v>
      </c>
    </row>
    <row r="5" spans="2:4" x14ac:dyDescent="0.25">
      <c r="B5">
        <v>3</v>
      </c>
      <c r="C5">
        <v>77</v>
      </c>
      <c r="D5">
        <v>12</v>
      </c>
    </row>
    <row r="6" spans="2:4" x14ac:dyDescent="0.25">
      <c r="B6">
        <v>4</v>
      </c>
      <c r="C6">
        <v>185</v>
      </c>
      <c r="D6">
        <v>10</v>
      </c>
    </row>
    <row r="7" spans="2:4" x14ac:dyDescent="0.25">
      <c r="B7">
        <v>5</v>
      </c>
      <c r="C7">
        <v>219</v>
      </c>
      <c r="D7">
        <v>49</v>
      </c>
    </row>
    <row r="8" spans="2:4" x14ac:dyDescent="0.25">
      <c r="B8">
        <v>6</v>
      </c>
      <c r="C8">
        <v>140</v>
      </c>
      <c r="D8">
        <v>16</v>
      </c>
    </row>
    <row r="9" spans="2:4" x14ac:dyDescent="0.25">
      <c r="B9">
        <v>7</v>
      </c>
      <c r="C9">
        <v>100</v>
      </c>
      <c r="D9">
        <v>10</v>
      </c>
    </row>
    <row r="10" spans="2:4" x14ac:dyDescent="0.25">
      <c r="B10">
        <v>8</v>
      </c>
      <c r="C10">
        <v>35</v>
      </c>
      <c r="D10">
        <v>13</v>
      </c>
    </row>
    <row r="11" spans="2:4" x14ac:dyDescent="0.25">
      <c r="B11">
        <v>9</v>
      </c>
      <c r="C11">
        <v>464</v>
      </c>
      <c r="D11">
        <v>10</v>
      </c>
    </row>
    <row r="12" spans="2:4" x14ac:dyDescent="0.25">
      <c r="B12">
        <v>10</v>
      </c>
      <c r="C12">
        <v>26</v>
      </c>
      <c r="D12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4</v>
      </c>
    </row>
    <row r="3" spans="2:3" x14ac:dyDescent="0.25">
      <c r="B3">
        <v>1</v>
      </c>
      <c r="C3">
        <f>INPUT1!C3</f>
        <v>17</v>
      </c>
    </row>
    <row r="4" spans="2:3" x14ac:dyDescent="0.25">
      <c r="B4">
        <v>2</v>
      </c>
      <c r="C4">
        <f>INPUT1!C4</f>
        <v>249</v>
      </c>
    </row>
    <row r="5" spans="2:3" x14ac:dyDescent="0.25">
      <c r="B5">
        <v>3</v>
      </c>
      <c r="C5">
        <f>INPUT1!C5</f>
        <v>81</v>
      </c>
    </row>
    <row r="6" spans="2:3" x14ac:dyDescent="0.25">
      <c r="B6">
        <v>4</v>
      </c>
      <c r="C6">
        <f>INPUT1!C6</f>
        <v>68</v>
      </c>
    </row>
    <row r="7" spans="2:3" x14ac:dyDescent="0.25">
      <c r="B7">
        <v>5</v>
      </c>
      <c r="C7">
        <f>INPUT1!C7</f>
        <v>398</v>
      </c>
    </row>
    <row r="8" spans="2:3" x14ac:dyDescent="0.25">
      <c r="B8">
        <v>6</v>
      </c>
      <c r="C8">
        <f>INPUT1!C8</f>
        <v>85</v>
      </c>
    </row>
    <row r="9" spans="2:3" x14ac:dyDescent="0.25">
      <c r="B9">
        <v>7</v>
      </c>
      <c r="C9">
        <f>INPUT1!C9</f>
        <v>61</v>
      </c>
    </row>
    <row r="10" spans="2:3" x14ac:dyDescent="0.25">
      <c r="B10">
        <v>8</v>
      </c>
      <c r="C10">
        <f>INPUT1!C10</f>
        <v>171</v>
      </c>
    </row>
    <row r="11" spans="2:3" x14ac:dyDescent="0.25">
      <c r="B11">
        <v>9</v>
      </c>
      <c r="C11">
        <f>INPUT1!C11</f>
        <v>44</v>
      </c>
    </row>
    <row r="12" spans="2:3" x14ac:dyDescent="0.25">
      <c r="B12">
        <v>10</v>
      </c>
      <c r="C12">
        <f>INPUT1!C12</f>
        <v>91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4</v>
      </c>
    </row>
    <row r="3" spans="2:3" x14ac:dyDescent="0.25">
      <c r="B3">
        <v>1</v>
      </c>
      <c r="C3">
        <f>INPUT1!C3+INPUT2!C3</f>
        <v>645</v>
      </c>
    </row>
    <row r="4" spans="2:3" x14ac:dyDescent="0.25">
      <c r="B4">
        <v>2</v>
      </c>
      <c r="C4">
        <f>INPUT1!C4+INPUT2!C4</f>
        <v>328</v>
      </c>
    </row>
    <row r="5" spans="2:3" x14ac:dyDescent="0.25">
      <c r="B5">
        <v>3</v>
      </c>
      <c r="C5">
        <f>INPUT1!C5+INPUT2!C5</f>
        <v>121</v>
      </c>
    </row>
    <row r="6" spans="2:3" x14ac:dyDescent="0.25">
      <c r="B6">
        <v>4</v>
      </c>
      <c r="C6">
        <f>INPUT1!C6+INPUT2!C6</f>
        <v>109</v>
      </c>
    </row>
    <row r="7" spans="2:3" x14ac:dyDescent="0.25">
      <c r="B7">
        <v>5</v>
      </c>
      <c r="C7">
        <f>INPUT1!C7+INPUT2!C7</f>
        <v>456</v>
      </c>
    </row>
    <row r="8" spans="2:3" x14ac:dyDescent="0.25">
      <c r="B8">
        <v>6</v>
      </c>
      <c r="C8">
        <f>INPUT1!C8+INPUT2!C8</f>
        <v>277</v>
      </c>
    </row>
    <row r="9" spans="2:3" x14ac:dyDescent="0.25">
      <c r="B9">
        <v>7</v>
      </c>
      <c r="C9">
        <f>INPUT1!C9+INPUT2!C9</f>
        <v>269</v>
      </c>
    </row>
    <row r="10" spans="2:3" x14ac:dyDescent="0.25">
      <c r="B10">
        <v>8</v>
      </c>
      <c r="C10">
        <f>INPUT1!C10+INPUT2!C10</f>
        <v>184</v>
      </c>
    </row>
    <row r="11" spans="2:3" x14ac:dyDescent="0.25">
      <c r="B11">
        <v>9</v>
      </c>
      <c r="C11">
        <f>INPUT1!C11+INPUT2!C11</f>
        <v>101</v>
      </c>
    </row>
    <row r="12" spans="2:3" x14ac:dyDescent="0.25">
      <c r="B12">
        <v>10</v>
      </c>
      <c r="C12">
        <f>INPUT1!C12+INPUT2!C12</f>
        <v>126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B2:C12"/>
  <sheetViews>
    <sheetView workbookViewId="0">
      <selection activeCell="E3" sqref="E3"/>
    </sheetView>
  </sheetViews>
  <sheetFormatPr defaultRowHeight="15" x14ac:dyDescent="0.25"/>
  <sheetData>
    <row r="2" spans="2:3" x14ac:dyDescent="0.25">
      <c r="B2" t="s">
        <v>5</v>
      </c>
      <c r="C2" t="s">
        <v>4</v>
      </c>
    </row>
    <row r="3" spans="2:3" x14ac:dyDescent="0.25">
      <c r="B3">
        <v>1</v>
      </c>
      <c r="C3">
        <f>CALC_A_1!C3+CALC_A_2!C3-INPUT4!C3</f>
        <v>624</v>
      </c>
    </row>
    <row r="4" spans="2:3" x14ac:dyDescent="0.25">
      <c r="B4">
        <v>2</v>
      </c>
      <c r="C4">
        <f>CALC_A_1!C4+CALC_A_2!C4-INPUT4!C4</f>
        <v>481</v>
      </c>
    </row>
    <row r="5" spans="2:3" x14ac:dyDescent="0.25">
      <c r="B5">
        <v>3</v>
      </c>
      <c r="C5">
        <f>CALC_A_1!C5+CALC_A_2!C5-INPUT4!C5</f>
        <v>125</v>
      </c>
    </row>
    <row r="6" spans="2:3" x14ac:dyDescent="0.25">
      <c r="B6">
        <v>4</v>
      </c>
      <c r="C6">
        <f>CALC_A_1!C6+CALC_A_2!C6-INPUT4!C6</f>
        <v>-8</v>
      </c>
    </row>
    <row r="7" spans="2:3" x14ac:dyDescent="0.25">
      <c r="B7">
        <v>5</v>
      </c>
      <c r="C7">
        <f>CALC_A_1!C7+CALC_A_2!C7-INPUT4!C7</f>
        <v>635</v>
      </c>
    </row>
    <row r="8" spans="2:3" x14ac:dyDescent="0.25">
      <c r="B8">
        <v>6</v>
      </c>
      <c r="C8">
        <f>CALC_A_1!C8+CALC_A_2!C8-INPUT4!C8</f>
        <v>222</v>
      </c>
    </row>
    <row r="9" spans="2:3" x14ac:dyDescent="0.25">
      <c r="B9">
        <v>7</v>
      </c>
      <c r="C9">
        <f>CALC_A_1!C9+CALC_A_2!C9-INPUT4!C9</f>
        <v>230</v>
      </c>
    </row>
    <row r="10" spans="2:3" x14ac:dyDescent="0.25">
      <c r="B10">
        <v>8</v>
      </c>
      <c r="C10">
        <f>CALC_A_1!C10+CALC_A_2!C10-INPUT4!C10</f>
        <v>320</v>
      </c>
    </row>
    <row r="11" spans="2:3" x14ac:dyDescent="0.25">
      <c r="B11">
        <v>9</v>
      </c>
      <c r="C11">
        <f>CALC_A_1!C11+CALC_A_2!C11-INPUT4!C11</f>
        <v>-319</v>
      </c>
    </row>
    <row r="12" spans="2:3" x14ac:dyDescent="0.25">
      <c r="B12">
        <v>10</v>
      </c>
      <c r="C12">
        <f>CALC_A_1!C12+CALC_A_2!C12-INPUT4!C12</f>
        <v>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4</v>
      </c>
    </row>
    <row r="3" spans="2:3" x14ac:dyDescent="0.25">
      <c r="B3">
        <v>1</v>
      </c>
      <c r="C3" t="b">
        <f>CALC_A_3!C3&lt;INPUT3!C3</f>
        <v>0</v>
      </c>
    </row>
    <row r="4" spans="2:3" x14ac:dyDescent="0.25">
      <c r="B4">
        <v>2</v>
      </c>
      <c r="C4" t="b">
        <f>CALC_A_3!C4&lt;INPUT3!C4</f>
        <v>0</v>
      </c>
    </row>
    <row r="5" spans="2:3" x14ac:dyDescent="0.25">
      <c r="B5">
        <v>3</v>
      </c>
      <c r="C5" t="b">
        <f>CALC_A_3!C5&lt;INPUT3!C5</f>
        <v>1</v>
      </c>
    </row>
    <row r="6" spans="2:3" x14ac:dyDescent="0.25">
      <c r="B6">
        <v>4</v>
      </c>
      <c r="C6" t="b">
        <f>CALC_A_3!C6&lt;INPUT3!C6</f>
        <v>1</v>
      </c>
    </row>
    <row r="7" spans="2:3" x14ac:dyDescent="0.25">
      <c r="B7">
        <v>5</v>
      </c>
      <c r="C7" t="b">
        <f>CALC_A_3!C7&lt;INPUT3!C7</f>
        <v>0</v>
      </c>
    </row>
    <row r="8" spans="2:3" x14ac:dyDescent="0.25">
      <c r="B8">
        <v>6</v>
      </c>
      <c r="C8" t="b">
        <f>CALC_A_3!C8&lt;INPUT3!C8</f>
        <v>0</v>
      </c>
    </row>
    <row r="9" spans="2:3" x14ac:dyDescent="0.25">
      <c r="B9">
        <v>7</v>
      </c>
      <c r="C9" t="b">
        <f>CALC_A_3!C9&lt;INPUT3!C9</f>
        <v>0</v>
      </c>
    </row>
    <row r="10" spans="2:3" x14ac:dyDescent="0.25">
      <c r="B10">
        <v>8</v>
      </c>
      <c r="C10" t="b">
        <f>CALC_A_3!C10&lt;INPUT3!C10</f>
        <v>0</v>
      </c>
    </row>
    <row r="11" spans="2:3" x14ac:dyDescent="0.25">
      <c r="B11">
        <v>9</v>
      </c>
      <c r="C11" t="b">
        <f>CALC_A_3!C11&lt;INPUT3!C11</f>
        <v>1</v>
      </c>
    </row>
    <row r="12" spans="2:3" x14ac:dyDescent="0.25">
      <c r="B12">
        <v>10</v>
      </c>
      <c r="C12" t="b">
        <f>CALC_A_3!C12&lt;INPUT3!C12</f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6</v>
      </c>
    </row>
    <row r="3" spans="2:3" x14ac:dyDescent="0.25">
      <c r="B3">
        <v>1</v>
      </c>
      <c r="C3">
        <f>LOG(INPUT1!D3)</f>
        <v>1.8325089127062364</v>
      </c>
    </row>
    <row r="4" spans="2:3" x14ac:dyDescent="0.25">
      <c r="B4">
        <v>2</v>
      </c>
      <c r="C4">
        <f>LOG(INPUT1!D4)</f>
        <v>1.4913616938342726</v>
      </c>
    </row>
    <row r="5" spans="2:3" x14ac:dyDescent="0.25">
      <c r="B5">
        <v>3</v>
      </c>
      <c r="C5">
        <f>LOG(INPUT1!D5)</f>
        <v>1.0413926851582251</v>
      </c>
    </row>
    <row r="6" spans="2:3" x14ac:dyDescent="0.25">
      <c r="B6">
        <v>4</v>
      </c>
      <c r="C6">
        <f>LOG(INPUT1!D6)</f>
        <v>1.255272505103306</v>
      </c>
    </row>
    <row r="7" spans="2:3" x14ac:dyDescent="0.25">
      <c r="B7">
        <v>5</v>
      </c>
      <c r="C7">
        <f>LOG(INPUT1!D7)</f>
        <v>2.6794278966121188</v>
      </c>
    </row>
    <row r="8" spans="2:3" x14ac:dyDescent="0.25">
      <c r="B8">
        <v>6</v>
      </c>
      <c r="C8">
        <f>LOG(INPUT1!D8)</f>
        <v>1.4913616938342726</v>
      </c>
    </row>
    <row r="9" spans="2:3" x14ac:dyDescent="0.25">
      <c r="B9">
        <v>7</v>
      </c>
      <c r="C9">
        <f>LOG(INPUT1!D9)</f>
        <v>1.3010299956639813</v>
      </c>
    </row>
    <row r="10" spans="2:3" x14ac:dyDescent="0.25">
      <c r="B10">
        <v>8</v>
      </c>
      <c r="C10">
        <f>LOG(INPUT1!D10)</f>
        <v>1.4471580313422192</v>
      </c>
    </row>
    <row r="11" spans="2:3" x14ac:dyDescent="0.25">
      <c r="B11">
        <v>9</v>
      </c>
      <c r="C11">
        <f>LOG(INPUT1!D11)</f>
        <v>1.2304489213782739</v>
      </c>
    </row>
    <row r="12" spans="2:3" x14ac:dyDescent="0.25">
      <c r="B12">
        <v>10</v>
      </c>
      <c r="C12">
        <f>LOG(INPUT1!D12)</f>
        <v>1.7242758696007889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6</v>
      </c>
    </row>
    <row r="3" spans="2:3" x14ac:dyDescent="0.25">
      <c r="B3">
        <v>1</v>
      </c>
      <c r="C3">
        <f>INPUT2!D3 / CALC_B1!C3</f>
        <v>13.096798511368203</v>
      </c>
    </row>
    <row r="4" spans="2:3" x14ac:dyDescent="0.25">
      <c r="B4">
        <v>2</v>
      </c>
      <c r="C4">
        <f>INPUT2!D4 / CALC_B1!C4</f>
        <v>32.1853512789326</v>
      </c>
    </row>
    <row r="5" spans="2:3" x14ac:dyDescent="0.25">
      <c r="B5">
        <v>3</v>
      </c>
      <c r="C5">
        <f>INPUT2!D5 / CALC_B1!C5</f>
        <v>11.523030813469529</v>
      </c>
    </row>
    <row r="6" spans="2:3" x14ac:dyDescent="0.25">
      <c r="B6">
        <v>4</v>
      </c>
      <c r="C6">
        <f>INPUT2!D6 / CALC_B1!C6</f>
        <v>17.52607494433207</v>
      </c>
    </row>
    <row r="7" spans="2:3" x14ac:dyDescent="0.25">
      <c r="B7">
        <v>5</v>
      </c>
      <c r="C7">
        <f>INPUT2!D7 / CALC_B1!C7</f>
        <v>5.5982099831706877</v>
      </c>
    </row>
    <row r="8" spans="2:3" x14ac:dyDescent="0.25">
      <c r="B8">
        <v>6</v>
      </c>
      <c r="C8">
        <f>INPUT2!D8 / CALC_B1!C8</f>
        <v>10.728450426310868</v>
      </c>
    </row>
    <row r="9" spans="2:3" x14ac:dyDescent="0.25">
      <c r="B9">
        <v>7</v>
      </c>
      <c r="C9">
        <f>INPUT2!D9 / CALC_B1!C9</f>
        <v>8.4548396552426492</v>
      </c>
    </row>
    <row r="10" spans="2:3" x14ac:dyDescent="0.25">
      <c r="B10">
        <v>8</v>
      </c>
      <c r="C10">
        <f>INPUT2!D10 / CALC_B1!C10</f>
        <v>6.910095361682882</v>
      </c>
    </row>
    <row r="11" spans="2:3" x14ac:dyDescent="0.25">
      <c r="B11">
        <v>9</v>
      </c>
      <c r="C11">
        <f>INPUT2!D11 / CALC_B1!C11</f>
        <v>21.943210750882894</v>
      </c>
    </row>
    <row r="12" spans="2:3" x14ac:dyDescent="0.25">
      <c r="B12">
        <v>10</v>
      </c>
      <c r="C12">
        <f>INPUT2!D12 / CALC_B1!C12</f>
        <v>7.5393968153192397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6</v>
      </c>
    </row>
    <row r="3" spans="2:3" x14ac:dyDescent="0.25">
      <c r="B3">
        <v>1</v>
      </c>
      <c r="C3">
        <f>CALC_B1!C3+CALC_B2!C3/(INPUT3!D3+INPUT4!D3)</f>
        <v>2.0622773076425207</v>
      </c>
    </row>
    <row r="4" spans="2:3" x14ac:dyDescent="0.25">
      <c r="B4">
        <v>2</v>
      </c>
      <c r="C4">
        <f>CALC_B1!C4+CALC_B2!C4/(INPUT3!D4+INPUT4!D4)</f>
        <v>2.6408385252247228</v>
      </c>
    </row>
    <row r="5" spans="2:3" x14ac:dyDescent="0.25">
      <c r="B5">
        <v>3</v>
      </c>
      <c r="C5">
        <f>CALC_B1!C5+CALC_B2!C5/(INPUT3!D5+INPUT4!D5)</f>
        <v>1.2400656302180446</v>
      </c>
    </row>
    <row r="6" spans="2:3" x14ac:dyDescent="0.25">
      <c r="B6">
        <v>4</v>
      </c>
      <c r="C6">
        <f>CALC_B1!C6+CALC_B2!C6/(INPUT3!D6+INPUT4!D6)</f>
        <v>2.0898475024524523</v>
      </c>
    </row>
    <row r="7" spans="2:3" x14ac:dyDescent="0.25">
      <c r="B7">
        <v>5</v>
      </c>
      <c r="C7">
        <f>CALC_B1!C7+CALC_B2!C7/(INPUT3!D7+INPUT4!D7)</f>
        <v>2.7430439191481493</v>
      </c>
    </row>
    <row r="8" spans="2:3" x14ac:dyDescent="0.25">
      <c r="B8">
        <v>6</v>
      </c>
      <c r="C8">
        <f>CALC_B1!C8+CALC_B2!C8/(INPUT3!D8+INPUT4!D8)</f>
        <v>1.8266257696564874</v>
      </c>
    </row>
    <row r="9" spans="2:3" x14ac:dyDescent="0.25">
      <c r="B9">
        <v>7</v>
      </c>
      <c r="C9">
        <f>CALC_B1!C9+CALC_B2!C9/(INPUT3!D9+INPUT4!D9)</f>
        <v>1.5572372579440614</v>
      </c>
    </row>
    <row r="10" spans="2:3" x14ac:dyDescent="0.25">
      <c r="B10">
        <v>8</v>
      </c>
      <c r="C10">
        <f>CALC_B1!C10+CALC_B2!C10/(INPUT3!D10+INPUT4!D10)</f>
        <v>1.7475969601110402</v>
      </c>
    </row>
    <row r="11" spans="2:3" x14ac:dyDescent="0.25">
      <c r="B11">
        <v>9</v>
      </c>
      <c r="C11">
        <f>CALC_B1!C11+CALC_B2!C11/(INPUT3!D11+INPUT4!D11)</f>
        <v>2.2278675918729509</v>
      </c>
    </row>
    <row r="12" spans="2:3" x14ac:dyDescent="0.25">
      <c r="B12">
        <v>10</v>
      </c>
      <c r="C12">
        <f>CALC_B1!C12+CALC_B2!C12/(INPUT3!D12+INPUT4!D12)</f>
        <v>1.8275552780298197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B2:C12"/>
  <sheetViews>
    <sheetView workbookViewId="0">
      <selection activeCell="C3" sqref="C3:C12"/>
    </sheetView>
  </sheetViews>
  <sheetFormatPr defaultRowHeight="15" x14ac:dyDescent="0.25"/>
  <sheetData>
    <row r="2" spans="2:3" x14ac:dyDescent="0.25">
      <c r="B2" t="s">
        <v>5</v>
      </c>
      <c r="C2" t="s">
        <v>6</v>
      </c>
    </row>
    <row r="3" spans="2:3" x14ac:dyDescent="0.25">
      <c r="B3">
        <v>1</v>
      </c>
      <c r="C3" t="b">
        <f>CALC_B3!C3&lt;=2</f>
        <v>0</v>
      </c>
    </row>
    <row r="4" spans="2:3" x14ac:dyDescent="0.25">
      <c r="B4">
        <v>2</v>
      </c>
      <c r="C4" t="b">
        <f>CALC_B3!C4&lt;=2</f>
        <v>0</v>
      </c>
    </row>
    <row r="5" spans="2:3" x14ac:dyDescent="0.25">
      <c r="B5">
        <v>3</v>
      </c>
      <c r="C5" t="b">
        <f>CALC_B3!C5&lt;=2</f>
        <v>1</v>
      </c>
    </row>
    <row r="6" spans="2:3" x14ac:dyDescent="0.25">
      <c r="B6">
        <v>4</v>
      </c>
      <c r="C6" t="b">
        <f>CALC_B3!C6&lt;=2</f>
        <v>0</v>
      </c>
    </row>
    <row r="7" spans="2:3" x14ac:dyDescent="0.25">
      <c r="B7">
        <v>5</v>
      </c>
      <c r="C7" t="b">
        <f>CALC_B3!C7&lt;=2</f>
        <v>0</v>
      </c>
    </row>
    <row r="8" spans="2:3" x14ac:dyDescent="0.25">
      <c r="B8">
        <v>6</v>
      </c>
      <c r="C8" t="b">
        <f>CALC_B3!C8&lt;=2</f>
        <v>1</v>
      </c>
    </row>
    <row r="9" spans="2:3" x14ac:dyDescent="0.25">
      <c r="B9">
        <v>7</v>
      </c>
      <c r="C9" t="b">
        <f>CALC_B3!C9&lt;=2</f>
        <v>1</v>
      </c>
    </row>
    <row r="10" spans="2:3" x14ac:dyDescent="0.25">
      <c r="B10">
        <v>8</v>
      </c>
      <c r="C10" t="b">
        <f>CALC_B3!C10&lt;=2</f>
        <v>1</v>
      </c>
    </row>
    <row r="11" spans="2:3" x14ac:dyDescent="0.25">
      <c r="B11">
        <v>9</v>
      </c>
      <c r="C11" t="b">
        <f>CALC_B3!C11&lt;=2</f>
        <v>0</v>
      </c>
    </row>
    <row r="12" spans="2:3" x14ac:dyDescent="0.25">
      <c r="B12">
        <v>10</v>
      </c>
      <c r="C12" t="b">
        <f>CALC_B3!C12&lt;=2</f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-0.499984740745262"/>
  </sheetPr>
  <dimension ref="B2:D12"/>
  <sheetViews>
    <sheetView workbookViewId="0">
      <selection activeCell="B2" sqref="B2:D12"/>
    </sheetView>
  </sheetViews>
  <sheetFormatPr defaultRowHeight="15" x14ac:dyDescent="0.25"/>
  <sheetData>
    <row r="2" spans="2:4" x14ac:dyDescent="0.25">
      <c r="B2" t="s">
        <v>5</v>
      </c>
      <c r="C2" t="s">
        <v>4</v>
      </c>
      <c r="D2" t="s">
        <v>6</v>
      </c>
    </row>
    <row r="3" spans="2:4" x14ac:dyDescent="0.25">
      <c r="B3">
        <v>1</v>
      </c>
      <c r="C3">
        <f>CALC_A_3!C3</f>
        <v>624</v>
      </c>
      <c r="D3" s="1">
        <f>CALC_B3!C3</f>
        <v>2.0622773076425207</v>
      </c>
    </row>
    <row r="4" spans="2:4" x14ac:dyDescent="0.25">
      <c r="B4">
        <v>2</v>
      </c>
      <c r="C4">
        <f>CALC_A_3!C4</f>
        <v>481</v>
      </c>
      <c r="D4" s="1">
        <f>CALC_B3!C4</f>
        <v>2.6408385252247228</v>
      </c>
    </row>
    <row r="5" spans="2:4" x14ac:dyDescent="0.25">
      <c r="B5">
        <v>3</v>
      </c>
      <c r="C5">
        <f>CALC_A_3!C5</f>
        <v>125</v>
      </c>
      <c r="D5" s="1">
        <f>CALC_B3!C5</f>
        <v>1.2400656302180446</v>
      </c>
    </row>
    <row r="6" spans="2:4" x14ac:dyDescent="0.25">
      <c r="B6">
        <v>4</v>
      </c>
      <c r="C6">
        <f>CALC_A_3!C6</f>
        <v>-8</v>
      </c>
      <c r="D6" s="1">
        <f>CALC_B3!C6</f>
        <v>2.0898475024524523</v>
      </c>
    </row>
    <row r="7" spans="2:4" x14ac:dyDescent="0.25">
      <c r="B7">
        <v>5</v>
      </c>
      <c r="C7">
        <f>CALC_A_3!C7</f>
        <v>635</v>
      </c>
      <c r="D7" s="1">
        <f>CALC_B3!C7</f>
        <v>2.7430439191481493</v>
      </c>
    </row>
    <row r="8" spans="2:4" x14ac:dyDescent="0.25">
      <c r="B8">
        <v>6</v>
      </c>
      <c r="C8">
        <f>CALC_A_3!C8</f>
        <v>222</v>
      </c>
      <c r="D8" s="1">
        <f>CALC_B3!C8</f>
        <v>1.8266257696564874</v>
      </c>
    </row>
    <row r="9" spans="2:4" x14ac:dyDescent="0.25">
      <c r="B9">
        <v>7</v>
      </c>
      <c r="C9">
        <f>CALC_A_3!C9</f>
        <v>230</v>
      </c>
      <c r="D9" s="1">
        <f>CALC_B3!C9</f>
        <v>1.5572372579440614</v>
      </c>
    </row>
    <row r="10" spans="2:4" x14ac:dyDescent="0.25">
      <c r="B10">
        <v>8</v>
      </c>
      <c r="C10">
        <f>CALC_A_3!C10</f>
        <v>320</v>
      </c>
      <c r="D10" s="1">
        <f>CALC_B3!C10</f>
        <v>1.7475969601110402</v>
      </c>
    </row>
    <row r="11" spans="2:4" x14ac:dyDescent="0.25">
      <c r="B11">
        <v>9</v>
      </c>
      <c r="C11">
        <f>CALC_A_3!C11</f>
        <v>-319</v>
      </c>
      <c r="D11" s="1">
        <f>CALC_B3!C11</f>
        <v>2.2278675918729509</v>
      </c>
    </row>
    <row r="12" spans="2:4" x14ac:dyDescent="0.25">
      <c r="B12">
        <v>10</v>
      </c>
      <c r="C12">
        <f>CALC_A_3!C12</f>
        <v>191</v>
      </c>
      <c r="D12" s="1">
        <f>CALC_B3!C12</f>
        <v>1.8275552780298197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-0.499984740745262"/>
  </sheetPr>
  <dimension ref="B2:D22"/>
  <sheetViews>
    <sheetView workbookViewId="0">
      <selection activeCell="B17" sqref="B17"/>
    </sheetView>
  </sheetViews>
  <sheetFormatPr defaultRowHeight="15" x14ac:dyDescent="0.25"/>
  <sheetData>
    <row r="2" spans="2:4" x14ac:dyDescent="0.25">
      <c r="B2" t="s">
        <v>5</v>
      </c>
      <c r="C2" t="s">
        <v>7</v>
      </c>
      <c r="D2" t="s">
        <v>8</v>
      </c>
    </row>
    <row r="3" spans="2:4" x14ac:dyDescent="0.25">
      <c r="B3">
        <v>1</v>
      </c>
      <c r="C3" t="s">
        <v>4</v>
      </c>
      <c r="D3">
        <f>SUMIFS( INDEX(SUMMARY_CALCS!$C:$D, 0, MATCH($C3, SUMMARY_CALCS!$C$2:$D$2, 0)), SUMMARY_CALCS!$B:$B, $B3)</f>
        <v>624</v>
      </c>
    </row>
    <row r="4" spans="2:4" x14ac:dyDescent="0.25">
      <c r="B4">
        <v>2</v>
      </c>
      <c r="C4" t="s">
        <v>4</v>
      </c>
      <c r="D4">
        <f>SUMIFS( INDEX(SUMMARY_CALCS!$C:$D, 0, MATCH($C4, SUMMARY_CALCS!$C$2:$D$2, 0)), SUMMARY_CALCS!$B:$B, $B4)</f>
        <v>481</v>
      </c>
    </row>
    <row r="5" spans="2:4" x14ac:dyDescent="0.25">
      <c r="B5">
        <v>3</v>
      </c>
      <c r="C5" t="s">
        <v>4</v>
      </c>
      <c r="D5">
        <f>SUMIFS( INDEX(SUMMARY_CALCS!$C:$D, 0, MATCH($C5, SUMMARY_CALCS!$C$2:$D$2, 0)), SUMMARY_CALCS!$B:$B, $B5)</f>
        <v>125</v>
      </c>
    </row>
    <row r="6" spans="2:4" x14ac:dyDescent="0.25">
      <c r="B6">
        <v>4</v>
      </c>
      <c r="C6" t="s">
        <v>4</v>
      </c>
      <c r="D6">
        <f>SUMIFS( INDEX(SUMMARY_CALCS!$C:$D, 0, MATCH($C6, SUMMARY_CALCS!$C$2:$D$2, 0)), SUMMARY_CALCS!$B:$B, $B6)</f>
        <v>-8</v>
      </c>
    </row>
    <row r="7" spans="2:4" x14ac:dyDescent="0.25">
      <c r="B7">
        <v>5</v>
      </c>
      <c r="C7" t="s">
        <v>4</v>
      </c>
      <c r="D7">
        <f>SUMIFS( INDEX(SUMMARY_CALCS!$C:$D, 0, MATCH($C7, SUMMARY_CALCS!$C$2:$D$2, 0)), SUMMARY_CALCS!$B:$B, $B7)</f>
        <v>635</v>
      </c>
    </row>
    <row r="8" spans="2:4" x14ac:dyDescent="0.25">
      <c r="B8">
        <v>6</v>
      </c>
      <c r="C8" t="s">
        <v>4</v>
      </c>
      <c r="D8">
        <f>SUMIFS( INDEX(SUMMARY_CALCS!$C:$D, 0, MATCH($C8, SUMMARY_CALCS!$C$2:$D$2, 0)), SUMMARY_CALCS!$B:$B, $B8)</f>
        <v>222</v>
      </c>
    </row>
    <row r="9" spans="2:4" x14ac:dyDescent="0.25">
      <c r="B9">
        <v>7</v>
      </c>
      <c r="C9" t="s">
        <v>4</v>
      </c>
      <c r="D9">
        <f>SUMIFS( INDEX(SUMMARY_CALCS!$C:$D, 0, MATCH($C9, SUMMARY_CALCS!$C$2:$D$2, 0)), SUMMARY_CALCS!$B:$B, $B9)</f>
        <v>230</v>
      </c>
    </row>
    <row r="10" spans="2:4" x14ac:dyDescent="0.25">
      <c r="B10">
        <v>8</v>
      </c>
      <c r="C10" t="s">
        <v>4</v>
      </c>
      <c r="D10">
        <f>SUMIFS( INDEX(SUMMARY_CALCS!$C:$D, 0, MATCH($C10, SUMMARY_CALCS!$C$2:$D$2, 0)), SUMMARY_CALCS!$B:$B, $B10)</f>
        <v>320</v>
      </c>
    </row>
    <row r="11" spans="2:4" x14ac:dyDescent="0.25">
      <c r="B11">
        <v>9</v>
      </c>
      <c r="C11" t="s">
        <v>4</v>
      </c>
      <c r="D11">
        <f>SUMIFS( INDEX(SUMMARY_CALCS!$C:$D, 0, MATCH($C11, SUMMARY_CALCS!$C$2:$D$2, 0)), SUMMARY_CALCS!$B:$B, $B11)</f>
        <v>-319</v>
      </c>
    </row>
    <row r="12" spans="2:4" x14ac:dyDescent="0.25">
      <c r="B12">
        <v>10</v>
      </c>
      <c r="C12" t="s">
        <v>4</v>
      </c>
      <c r="D12">
        <f>SUMIFS( INDEX(SUMMARY_CALCS!$C:$D, 0, MATCH($C12, SUMMARY_CALCS!$C$2:$D$2, 0)), SUMMARY_CALCS!$B:$B, $B12)</f>
        <v>191</v>
      </c>
    </row>
    <row r="13" spans="2:4" x14ac:dyDescent="0.25">
      <c r="B13">
        <v>1</v>
      </c>
      <c r="C13" t="s">
        <v>6</v>
      </c>
      <c r="D13">
        <f>SUMIFS( INDEX(SUMMARY_CALCS!$C:$D, 0, MATCH($C13, SUMMARY_CALCS!$C$2:$D$2, 0)), SUMMARY_CALCS!$B:$B, $B13)</f>
        <v>2.0622773076425207</v>
      </c>
    </row>
    <row r="14" spans="2:4" x14ac:dyDescent="0.25">
      <c r="B14">
        <v>2</v>
      </c>
      <c r="C14" t="s">
        <v>6</v>
      </c>
      <c r="D14">
        <f>SUMIFS( INDEX(SUMMARY_CALCS!$C:$D, 0, MATCH($C14, SUMMARY_CALCS!$C$2:$D$2, 0)), SUMMARY_CALCS!$B:$B, $B14)</f>
        <v>2.6408385252247228</v>
      </c>
    </row>
    <row r="15" spans="2:4" x14ac:dyDescent="0.25">
      <c r="B15">
        <v>3</v>
      </c>
      <c r="C15" t="s">
        <v>6</v>
      </c>
      <c r="D15">
        <f>SUMIFS( INDEX(SUMMARY_CALCS!$C:$D, 0, MATCH($C15, SUMMARY_CALCS!$C$2:$D$2, 0)), SUMMARY_CALCS!$B:$B, $B15)</f>
        <v>1.2400656302180446</v>
      </c>
    </row>
    <row r="16" spans="2:4" x14ac:dyDescent="0.25">
      <c r="B16">
        <v>4</v>
      </c>
      <c r="C16" t="s">
        <v>6</v>
      </c>
      <c r="D16">
        <f>SUMIFS( INDEX(SUMMARY_CALCS!$C:$D, 0, MATCH($C16, SUMMARY_CALCS!$C$2:$D$2, 0)), SUMMARY_CALCS!$B:$B, $B16)</f>
        <v>2.0898475024524523</v>
      </c>
    </row>
    <row r="17" spans="2:4" x14ac:dyDescent="0.25">
      <c r="B17">
        <v>5</v>
      </c>
      <c r="C17" t="s">
        <v>6</v>
      </c>
      <c r="D17">
        <f>SUMIFS( INDEX(SUMMARY_CALCS!$C:$D, 0, MATCH($C17, SUMMARY_CALCS!$C$2:$D$2, 0)), SUMMARY_CALCS!$B:$B, $B17)</f>
        <v>2.7430439191481493</v>
      </c>
    </row>
    <row r="18" spans="2:4" x14ac:dyDescent="0.25">
      <c r="B18">
        <v>6</v>
      </c>
      <c r="C18" t="s">
        <v>6</v>
      </c>
      <c r="D18">
        <f>SUMIFS( INDEX(SUMMARY_CALCS!$C:$D, 0, MATCH($C18, SUMMARY_CALCS!$C$2:$D$2, 0)), SUMMARY_CALCS!$B:$B, $B18)</f>
        <v>1.8266257696564874</v>
      </c>
    </row>
    <row r="19" spans="2:4" x14ac:dyDescent="0.25">
      <c r="B19">
        <v>7</v>
      </c>
      <c r="C19" t="s">
        <v>6</v>
      </c>
      <c r="D19">
        <f>SUMIFS( INDEX(SUMMARY_CALCS!$C:$D, 0, MATCH($C19, SUMMARY_CALCS!$C$2:$D$2, 0)), SUMMARY_CALCS!$B:$B, $B19)</f>
        <v>1.5572372579440614</v>
      </c>
    </row>
    <row r="20" spans="2:4" x14ac:dyDescent="0.25">
      <c r="B20">
        <v>8</v>
      </c>
      <c r="C20" t="s">
        <v>6</v>
      </c>
      <c r="D20">
        <f>SUMIFS( INDEX(SUMMARY_CALCS!$C:$D, 0, MATCH($C20, SUMMARY_CALCS!$C$2:$D$2, 0)), SUMMARY_CALCS!$B:$B, $B20)</f>
        <v>1.7475969601110402</v>
      </c>
    </row>
    <row r="21" spans="2:4" x14ac:dyDescent="0.25">
      <c r="B21">
        <v>9</v>
      </c>
      <c r="C21" t="s">
        <v>6</v>
      </c>
      <c r="D21">
        <f>SUMIFS( INDEX(SUMMARY_CALCS!$C:$D, 0, MATCH($C21, SUMMARY_CALCS!$C$2:$D$2, 0)), SUMMARY_CALCS!$B:$B, $B21)</f>
        <v>2.2278675918729509</v>
      </c>
    </row>
    <row r="22" spans="2:4" x14ac:dyDescent="0.25">
      <c r="B22">
        <v>10</v>
      </c>
      <c r="C22" t="s">
        <v>6</v>
      </c>
      <c r="D22">
        <f>SUMIFS( INDEX(SUMMARY_CALCS!$C:$D, 0, MATCH($C22, SUMMARY_CALCS!$C$2:$D$2, 0)), SUMMARY_CALCS!$B:$B, $B22)</f>
        <v>1.8275552780298197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59999389629810485"/>
  </sheetPr>
  <dimension ref="B2:E4"/>
  <sheetViews>
    <sheetView workbookViewId="0">
      <selection activeCell="B2" sqref="B2:E4"/>
    </sheetView>
  </sheetViews>
  <sheetFormatPr defaultRowHeight="15" x14ac:dyDescent="0.25"/>
  <sheetData>
    <row r="2" spans="2:5" x14ac:dyDescent="0.25">
      <c r="C2" t="s">
        <v>9</v>
      </c>
      <c r="D2" t="s">
        <v>10</v>
      </c>
      <c r="E2" t="s">
        <v>11</v>
      </c>
    </row>
    <row r="3" spans="2:5" x14ac:dyDescent="0.25">
      <c r="B3" t="s">
        <v>4</v>
      </c>
      <c r="C3">
        <f>COUNT(SUMMARY_CALCS!$C$3:$C$12)</f>
        <v>10</v>
      </c>
      <c r="D3">
        <f>AVERAGE(SUMMARY_CALCS!$C$3:$C$12)</f>
        <v>250.1</v>
      </c>
      <c r="E3">
        <f>_xlfn.STDEV.P(SUMMARY_CALCS!$C$3:$C$12)</f>
        <v>275.13213189302337</v>
      </c>
    </row>
    <row r="4" spans="2:5" x14ac:dyDescent="0.25">
      <c r="B4" t="s">
        <v>6</v>
      </c>
      <c r="C4">
        <f>COUNT(SUMMARY_CALCS!$D$3:$D$12)</f>
        <v>10</v>
      </c>
      <c r="D4" s="1">
        <f>AVERAGE(SUMMARY_CALCS!$D$3:$D$12)</f>
        <v>1.9962955742300248</v>
      </c>
      <c r="E4">
        <f>_xlfn.STDEV.P(SUMMARY_CALCS!$D$3:$D$12)</f>
        <v>0.43858498859617373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0.59999389629810485"/>
  </sheetPr>
  <dimension ref="B2:E4"/>
  <sheetViews>
    <sheetView workbookViewId="0">
      <selection activeCell="B4" sqref="B4"/>
    </sheetView>
  </sheetViews>
  <sheetFormatPr defaultRowHeight="15" x14ac:dyDescent="0.25"/>
  <sheetData>
    <row r="2" spans="2:5" x14ac:dyDescent="0.25">
      <c r="C2" t="s">
        <v>9</v>
      </c>
      <c r="D2" t="s">
        <v>10</v>
      </c>
      <c r="E2" t="s">
        <v>11</v>
      </c>
    </row>
    <row r="3" spans="2:5" x14ac:dyDescent="0.25">
      <c r="B3" t="s">
        <v>12</v>
      </c>
      <c r="C3">
        <f>Results1!C3 * SUMIFS(SUMMARY_CALCS_csv!$D:$D, SUMMARY_CALCS_csv!$C:$C, Results1!$B$3) + Results1!C4 * SUMIFS(SUMMARY_CALCS_csv!$D:$D, SUMMARY_CALCS_csv!$C:$C, Results1!$B$4)</f>
        <v>25209.629557423003</v>
      </c>
      <c r="D3">
        <f>Results1!D3 * SUMIFS(SUMMARY_CALCS_csv!$D:$D, SUMMARY_CALCS_csv!$C:$C, Results1!$B$3) + Results1!D4 * SUMIFS(SUMMARY_CALCS_csv!$D:$D, SUMMARY_CALCS_csv!$C:$C, Results1!$B$4)</f>
        <v>625539.95196019683</v>
      </c>
      <c r="E3">
        <f>Results1!E3 * SUMIFS(SUMMARY_CALCS_csv!$D:$D, SUMMARY_CALCS_csv!$C:$C, Results1!$B$3) + Results1!E4 * SUMIFS(SUMMARY_CALCS_csv!$D:$D, SUMMARY_CALCS_csv!$C:$C, Results1!$B$4)</f>
        <v>688114.21731716802</v>
      </c>
    </row>
    <row r="4" spans="2:5" x14ac:dyDescent="0.25">
      <c r="D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version_log</vt:lpstr>
      <vt:lpstr>workbook_map</vt:lpstr>
      <vt:lpstr>INPUT1</vt:lpstr>
      <vt:lpstr>INPUT2</vt:lpstr>
      <vt:lpstr>INPUT3</vt:lpstr>
      <vt:lpstr>INPUT4</vt:lpstr>
      <vt:lpstr>CALCS&gt;</vt:lpstr>
      <vt:lpstr>CALC_A_1</vt:lpstr>
      <vt:lpstr>CALC_A_2</vt:lpstr>
      <vt:lpstr>CALC_A_3</vt:lpstr>
      <vt:lpstr>CALC_CHK_A</vt:lpstr>
      <vt:lpstr>CALC_B1</vt:lpstr>
      <vt:lpstr>CALC_B2</vt:lpstr>
      <vt:lpstr>CALC_B3</vt:lpstr>
      <vt:lpstr>CALC_CHK_B</vt:lpstr>
      <vt:lpstr>SUMMARY_CALCS</vt:lpstr>
      <vt:lpstr>SUMMARY_CALCS_csv</vt:lpstr>
      <vt:lpstr>OUTPUTS&gt;</vt:lpstr>
      <vt:lpstr>Results1</vt:lpstr>
      <vt:lpstr>Results2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ABELLAN Javier</dc:creator>
  <cp:lastModifiedBy>ABELLAN Javier</cp:lastModifiedBy>
  <dcterms:created xsi:type="dcterms:W3CDTF">2017-11-14T09:36:58Z</dcterms:created>
  <dcterms:modified xsi:type="dcterms:W3CDTF">2017-11-14T10:05:18Z</dcterms:modified>
</cp:coreProperties>
</file>